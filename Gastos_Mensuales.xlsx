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<sst xmlns="http://schemas.openxmlformats.org/spreadsheetml/2006/main" count="3305" uniqueCount="412">
  <si>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</si>
  <si>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</si>
  <si>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</si>
  <si>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</si>
  <si>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</si>
  <si>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</si>
  <si>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</si>
  <si>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</si>
  <si>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</si>
  <si>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</si>
  <si>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</si>
  <si>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</si>
  <si>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</si>
  <si>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</si>
  <si>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</si>
  <si>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</si>
  <si>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</si>
  <si>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</si>
  <si>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</si>
  <si>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</si>
  <si>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</si>
  <si>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</si>
  <si>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</si>
  <si>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</si>
  <si>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</si>
  <si>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</si>
  <si>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</si>
  <si>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</si>
  <si>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</si>
  <si>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</si>
  <si>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</si>
  <si>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</si>
  <si>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</si>
  <si>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</si>
  <si>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</si>
  <si>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</si>
  <si>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</si>
  <si>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</si>
  <si>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</si>
  <si>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</si>
  <si>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</si>
  <si>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</si>
  <si>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</si>
  <si>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</si>
  <si>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</si>
  <si>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</si>
  <si>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</si>
  <si>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</si>
  <si>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</si>
  <si>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</si>
  <si>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</si>
  <si>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</si>
  <si>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</si>
  <si>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</si>
  <si>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</si>
  <si>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</si>
  <si>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</si>
  <si>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</si>
  <si>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</si>
  <si>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</si>
  <si>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</si>
  <si>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</si>
  <si>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</si>
  <si>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</si>
  <si>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</si>
  <si>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</si>
  <si>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</si>
  <si>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</si>
  <si>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</si>
  <si>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</si>
  <si>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</si>
  <si>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</si>
  <si>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</si>
  <si>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</si>
  <si>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</si>
  <si>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</si>
  <si>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</si>
  <si>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</si>
  <si>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</si>
  <si>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</si>
  <si>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</si>
  <si>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</si>
  <si>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</si>
  <si>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</si>
  <si>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</si>
  <si>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</si>
  <si>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</si>
  <si>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</si>
  <si>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</si>
  <si>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</si>
  <si>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</si>
  <si>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</si>
  <si>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</si>
  <si>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</si>
  <si>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</si>
  <si>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</si>
  <si>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</si>
  <si>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</si>
  <si>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</si>
  <si>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</si>
  <si>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</si>
  <si>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</si>
  <si>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</si>
  <si>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</si>
  <si>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</si>
  <si>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</si>
  <si>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</si>
  <si>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</si>
  <si>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</si>
  <si>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</si>
  <si>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</si>
  <si>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</si>
  <si>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</si>
  <si>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</si>
  <si>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</si>
  <si>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</si>
  <si>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</si>
  <si>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</si>
  <si>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</si>
  <si>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</si>
  <si>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</si>
  <si>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</si>
  <si>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</si>
  <si>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</si>
  <si>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</si>
  <si>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</si>
  <si>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</si>
  <si>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</si>
  <si>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</si>
  <si>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</si>
  <si>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</si>
  <si>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GTM Paraguay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</si>
  <si>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</si>
  <si>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</si>
  <si>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</si>
  <si>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</si>
  <si>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</si>
  <si>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</si>
  <si>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</si>
  <si>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</si>
  <si>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</si>
  <si>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</si>
  <si>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</si>
  <si>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</si>
  <si>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</si>
  <si>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</si>
  <si>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</si>
  <si>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</si>
  <si>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</si>
  <si>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</si>
  <si>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</si>
  <si>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</si>
  <si>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</si>
  <si>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</si>
  <si>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</si>
  <si>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</si>
  <si>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</si>
  <si>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</si>
  <si>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</si>
  <si>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</si>
  <si>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</si>
  <si>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</si>
  <si>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</si>
  <si>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</si>
  <si>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</si>
  <si>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</si>
  <si>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</si>
  <si>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</si>
  <si>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</si>
  <si>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</si>
  <si>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</si>
  <si>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</si>
  <si>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</si>
  <si>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</si>
  <si>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</si>
  <si>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</si>
  <si>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</si>
  <si>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</si>
  <si>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</si>
  <si>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</si>
  <si>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</si>
  <si>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</si>
  <si>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</si>
  <si>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</si>
  <si>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</si>
  <si>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</si>
  <si>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</si>
  <si>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</si>
  <si>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</si>
  <si>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</si>
  <si>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</si>
  <si>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</si>
  <si>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</si>
  <si>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</si>
  <si>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</si>
  <si>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</si>
  <si>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</si>
  <si>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</si>
  <si>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</si>
  <si>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</si>
  <si>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</si>
  <si>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</si>
  <si>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</si>
  <si>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</si>
  <si>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</si>
  <si>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</si>
  <si>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</si>
  <si>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</si>
  <si>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</si>
  <si>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</si>
  <si>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</si>
  <si>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</si>
  <si>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</si>
  <si>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</si>
  <si>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</si>
  <si>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</si>
  <si>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</si>
  <si>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</si>
  <si>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</si>
  <si>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</si>
  <si>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</si>
  <si>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</si>
  <si>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</si>
  <si>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</si>
  <si>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</si>
  <si>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</si>
  <si>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</si>
  <si>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</si>
  <si>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</si>
  <si>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</si>
  <si>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</si>
  <si>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</si>
  <si>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</si>
  <si>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</si>
  <si>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</si>
  <si>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</si>
  <si>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</si>
  <si>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</si>
  <si>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</si>
  <si>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</si>
  <si>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</si>
  <si>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</si>
  <si>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</si>
  <si>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</si>
  <si>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</si>
  <si>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</si>
  <si>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</si>
  <si>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</si>
  <si>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</si>
  <si>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</si>
  <si>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</si>
  <si>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</si>
  <si>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</si>
  <si>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</si>
  <si>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</si>
  <si>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</si>
  <si>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</si>
  <si>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</si>
  <si>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</si>
  <si>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</si>
  <si>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</si>
  <si>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</si>
  <si>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</si>
  <si>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</si>
  <si>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</si>
  <si>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</si>
  <si>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</si>
  <si>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</si>
  <si>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</si>
  <si>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</si>
  <si>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</si>
  <si>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</si>
  <si>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</si>
  <si>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</si>
  <si>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</si>
  <si>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</si>
  <si>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</si>
  <si>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</si>
  <si>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</si>
  <si>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</si>
  <si>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</si>
  <si>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</si>
  <si>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</si>
  <si>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</si>
  <si>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</si>
  <si>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</si>
  <si>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</si>
  <si>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</si>
  <si>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</si>
  <si>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</si>
  <si>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</si>
  <si>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</si>
  <si>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</si>
  <si>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</si>
  <si>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</si>
  <si>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</si>
  <si>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</si>
  <si>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</si>
  <si>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</si>
  <si>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</si>
  <si>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</si>
  <si>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</si>
  <si>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</si>
  <si>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</si>
  <si>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</si>
  <si>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</si>
  <si>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</si>
  <si>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</si>
  <si>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</si>
  <si>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</si>
  <si>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</si>
  <si>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</si>
  <si>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</si>
  <si>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</si>
  <si>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</si>
  <si>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</si>
  <si>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</si>
  <si>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</si>
  <si>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</si>
  <si>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</si>
  <si>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</si>
  <si>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</si>
  <si>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</si>
  <si>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</si>
  <si>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</si>
  <si>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</si>
  <si>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</si>
  <si>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</si>
  <si>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</si>
  <si>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</si>
  <si>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</si>
  <si>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</si>
  <si>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</si>
  <si>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</si>
  <si>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</si>
  <si>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</si>
  <si>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</si>
  <si>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</si>
  <si>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</si>
  <si>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</si>
  <si>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</si>
  <si>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</si>
  <si>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</si>
  <si>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</si>
  <si>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</si>
  <si>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</si>
  <si>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</si>
  <si>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</si>
  <si>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</si>
  <si>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</si>
  <si>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</si>
  <si>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</si>
  <si>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</si>
  <si>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</si>
  <si>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</si>
  <si>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</si>
  <si>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</si>
  <si>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</si>
  <si>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</si>
  <si>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</si>
  <si>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</si>
  <si>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</si>
  <si>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</si>
  <si>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</si>
  <si>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</si>
  <si>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</si>
  <si>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</si>
  <si>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</si>
  <si>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</si>
  <si>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</si>
  <si>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</si>
  <si>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</si>
  <si>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</si>
  <si>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</si>
  <si>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</si>
  <si>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2026-09-02</t>
  </si>
  <si>
    <t xml:space="preserve">Oficina</t>
  </si>
  <si>
    <t xml:space="preserve">2026-09-03</t>
  </si>
  <si>
    <t xml:space="preserve">Ropa Rufi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</si>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</sst>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140000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13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13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0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0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0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0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9</v>
      </c>
      <c r="B513" s="1" t="s">
        <v>66</v>
      </c>
      <c r="C513" s="1" t="s">
        <v>75</v>
      </c>
      <c r="D513" s="1" t="s">
        <v>371</v>
      </c>
      <c r="E513" s="1" t="s">
        <v>77</v>
      </c>
      <c r="F513" s="1" t="s">
        <v>12</v>
      </c>
      <c r="G513" s="1" t="n">
        <v>45000</v>
      </c>
      <c r="H513" s="1" t="s">
        <v>132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70</v>
      </c>
      <c r="D514" s="1" t="s">
        <v>371</v>
      </c>
      <c r="E514" s="1" t="s">
        <v>374</v>
      </c>
      <c r="F514" s="1" t="s">
        <v>12</v>
      </c>
      <c r="G514" s="1" t="n">
        <v>75000</v>
      </c>
      <c r="H514" s="1" t="s">
        <v>25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78</v>
      </c>
      <c r="D515" s="1" t="s">
        <v>371</v>
      </c>
      <c r="E515" s="1" t="s">
        <v>78</v>
      </c>
      <c r="F515" s="1" t="s">
        <v>12</v>
      </c>
      <c r="G515" s="1" t="n">
        <v>120000</v>
      </c>
      <c r="H515" s="1" t="s">
        <v>25</v>
      </c>
    </row>
    <row r="516" customFormat="false" ht="15" hidden="false" customHeight="true" outlineLevel="0" collapsed="false">
      <c r="A516" s="1" t="s">
        <v>9</v>
      </c>
      <c r="B516" s="1" t="s">
        <v>66</v>
      </c>
      <c r="C516" s="1" t="s">
        <v>70</v>
      </c>
      <c r="D516" s="1" t="s">
        <v>371</v>
      </c>
      <c r="E516" s="1" t="s">
        <v>70</v>
      </c>
      <c r="F516" s="1" t="s">
        <v>12</v>
      </c>
      <c r="G516" s="1" t="n">
        <v>25000</v>
      </c>
      <c r="H516" s="1" t="s">
        <v>132</v>
      </c>
    </row>
    <row r="517" customFormat="false" ht="15" hidden="false" customHeight="true" outlineLevel="0" collapsed="false">
      <c r="A517" s="1" t="s">
        <v>43</v>
      </c>
      <c r="B517" s="1" t="s">
        <v>10</v>
      </c>
      <c r="E517" s="1" t="s">
        <v>11</v>
      </c>
      <c r="F517" s="1" t="s">
        <v>12</v>
      </c>
      <c r="G517" s="1" t="n">
        <v>262140</v>
      </c>
      <c r="H517" s="1" t="s">
        <v>13</v>
      </c>
    </row>
    <row r="518" customFormat="false" ht="15" hidden="false" customHeight="true" outlineLevel="0" collapsed="false">
      <c r="A518" s="1" t="s">
        <v>43</v>
      </c>
      <c r="B518" s="1" t="s">
        <v>29</v>
      </c>
      <c r="E518" s="1" t="s">
        <v>131</v>
      </c>
      <c r="F518" s="1" t="s">
        <v>18</v>
      </c>
      <c r="G518" s="1" t="n">
        <v>0</v>
      </c>
      <c r="H518" s="1" t="s">
        <v>132</v>
      </c>
    </row>
    <row r="519" customFormat="false" ht="15" hidden="false" customHeight="true" outlineLevel="0" collapsed="false">
      <c r="A519" s="1" t="s">
        <v>43</v>
      </c>
      <c r="B519" s="1" t="s">
        <v>66</v>
      </c>
      <c r="C519" s="1" t="s">
        <v>78</v>
      </c>
      <c r="D519" s="1" t="s">
        <v>375</v>
      </c>
      <c r="E519" s="1" t="s">
        <v>78</v>
      </c>
      <c r="F519" s="1" t="s">
        <v>12</v>
      </c>
      <c r="G519" s="1" t="n">
        <v>120000</v>
      </c>
      <c r="H519" s="1" t="s">
        <v>25</v>
      </c>
    </row>
    <row r="520" customFormat="false" ht="15" hidden="false" customHeight="true" outlineLevel="0" collapsed="false">
      <c r="A520" s="1" t="s">
        <v>43</v>
      </c>
      <c r="B520" s="1" t="s">
        <v>66</v>
      </c>
      <c r="C520" s="1" t="s">
        <v>376</v>
      </c>
      <c r="D520" s="1" t="s">
        <v>375</v>
      </c>
      <c r="E520" s="1" t="s">
        <v>84</v>
      </c>
      <c r="F520" s="1" t="s">
        <v>12</v>
      </c>
      <c r="G520" s="1" t="n">
        <v>10000</v>
      </c>
      <c r="H520" s="1" t="s">
        <v>132</v>
      </c>
    </row>
    <row r="521" customFormat="false" ht="15" hidden="false" customHeight="true" outlineLevel="0" collapsed="false">
      <c r="A521" s="1" t="s">
        <v>43</v>
      </c>
      <c r="B521" s="1" t="s">
        <v>66</v>
      </c>
      <c r="C521" s="1" t="s">
        <v>376</v>
      </c>
      <c r="D521" s="1" t="s">
        <v>375</v>
      </c>
      <c r="E521" s="1" t="s">
        <v>118</v>
      </c>
      <c r="F521" s="1" t="s">
        <v>12</v>
      </c>
      <c r="G521" s="1" t="n">
        <v>32400</v>
      </c>
      <c r="H521" s="1" t="s">
        <v>132</v>
      </c>
    </row>
    <row r="522" customFormat="false" ht="15" hidden="false" customHeight="true" outlineLevel="0" collapsed="false">
      <c r="A522" s="1" t="s">
        <v>43</v>
      </c>
      <c r="B522" s="1" t="s">
        <v>66</v>
      </c>
      <c r="C522" s="1" t="s">
        <v>70</v>
      </c>
      <c r="D522" s="1" t="s">
        <v>377</v>
      </c>
      <c r="E522" s="1" t="s">
        <v>70</v>
      </c>
      <c r="F522" s="1" t="s">
        <v>12</v>
      </c>
      <c r="G522" s="1" t="n">
        <v>40000</v>
      </c>
      <c r="H522" s="1" t="s">
        <v>25</v>
      </c>
    </row>
    <row r="523" customFormat="false" ht="15" hidden="false" customHeight="true" outlineLevel="0" collapsed="false">
      <c r="A523" s="1" t="s">
        <v>43</v>
      </c>
      <c r="B523" s="1" t="s">
        <v>66</v>
      </c>
      <c r="C523" s="1" t="s">
        <v>80</v>
      </c>
      <c r="D523" s="1" t="s">
        <v>377</v>
      </c>
      <c r="E523" s="1" t="s">
        <v>80</v>
      </c>
      <c r="F523" s="1" t="s">
        <v>12</v>
      </c>
      <c r="G523" s="1" t="n">
        <v>30200</v>
      </c>
      <c r="H523" s="1" t="s">
        <v>13</v>
      </c>
    </row>
    <row r="524" customFormat="false" ht="15" hidden="false" customHeight="true" outlineLevel="0" collapsed="false">
      <c r="A524" s="1" t="s">
        <v>43</v>
      </c>
      <c r="B524" s="1" t="s">
        <v>66</v>
      </c>
      <c r="C524" s="1" t="s">
        <v>106</v>
      </c>
      <c r="D524" s="1" t="s">
        <v>377</v>
      </c>
      <c r="E524" s="1" t="s">
        <v>378</v>
      </c>
      <c r="F524" s="1" t="s">
        <v>12</v>
      </c>
      <c r="G524" s="1" t="n">
        <v>135700</v>
      </c>
      <c r="H524" s="1" t="s">
        <v>13</v>
      </c>
    </row>
    <row r="525" customFormat="false" ht="15" hidden="false" customHeight="true" outlineLevel="0" collapsed="false">
      <c r="A525" s="1" t="s">
        <v>43</v>
      </c>
      <c r="B525" s="1" t="s">
        <v>66</v>
      </c>
      <c r="C525" s="1" t="s">
        <v>80</v>
      </c>
      <c r="D525" s="1" t="s">
        <v>377</v>
      </c>
      <c r="E525" s="1" t="s">
        <v>80</v>
      </c>
      <c r="F525" s="1" t="s">
        <v>12</v>
      </c>
      <c r="G525" s="1" t="n">
        <v>79350</v>
      </c>
      <c r="H525" s="1" t="s">
        <v>13</v>
      </c>
    </row>
    <row r="526" customFormat="false" ht="15" hidden="false" customHeight="false" outlineLevel="0" collapsed="false">
      <c r="E526" s="1" t="s">
        <v>379</v>
      </c>
      <c r="G526" s="1" t="n">
        <f aca="false">SUM(G2:G525)</f>
        <v>175890108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380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381</v>
      </c>
    </row>
    <row r="4" customFormat="false" ht="15" hidden="false" customHeight="true" outlineLevel="0" collapsed="false">
      <c r="A4" s="4" t="s">
        <v>382</v>
      </c>
    </row>
    <row r="5" customFormat="false" ht="15" hidden="false" customHeight="true" outlineLevel="0" collapsed="false">
      <c r="A5" s="4" t="s">
        <v>383</v>
      </c>
    </row>
    <row r="6" customFormat="false" ht="15" hidden="false" customHeight="true" outlineLevel="0" collapsed="false">
      <c r="A6" s="4" t="s">
        <v>384</v>
      </c>
    </row>
    <row r="7" customFormat="false" ht="15" hidden="false" customHeight="true" outlineLevel="0" collapsed="false">
      <c r="A7" s="4" t="s">
        <v>385</v>
      </c>
    </row>
    <row r="8" customFormat="false" ht="15" hidden="false" customHeight="true" outlineLevel="0" collapsed="false">
      <c r="A8" s="4" t="s">
        <v>386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387</v>
      </c>
    </row>
    <row r="11" customFormat="false" ht="15" hidden="false" customHeight="true" outlineLevel="0" collapsed="false">
      <c r="A11" s="4" t="s">
        <v>388</v>
      </c>
    </row>
    <row r="12" customFormat="false" ht="15" hidden="false" customHeight="true" outlineLevel="0" collapsed="false">
      <c r="A12" s="4" t="s">
        <v>389</v>
      </c>
    </row>
    <row r="13" customFormat="false" ht="15" hidden="false" customHeight="true" outlineLevel="0" collapsed="false">
      <c r="A13" s="4" t="s">
        <v>390</v>
      </c>
    </row>
    <row r="14" customFormat="false" ht="15" hidden="false" customHeight="true" outlineLevel="0" collapsed="false">
      <c r="A14" s="4" t="s">
        <v>391</v>
      </c>
    </row>
    <row r="15" customFormat="false" ht="15" hidden="false" customHeight="true" outlineLevel="0" collapsed="false">
      <c r="A15" s="4" t="s">
        <v>392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393</v>
      </c>
    </row>
    <row r="18" customFormat="false" ht="15" hidden="false" customHeight="true" outlineLevel="0" collapsed="false">
      <c r="A18" s="4" t="s">
        <v>394</v>
      </c>
    </row>
    <row r="19" customFormat="false" ht="15" hidden="false" customHeight="true" outlineLevel="0" collapsed="false">
      <c r="A19" s="4" t="s">
        <v>395</v>
      </c>
    </row>
    <row r="20" customFormat="false" ht="15" hidden="false" customHeight="true" outlineLevel="0" collapsed="false">
      <c r="A20" s="4" t="s">
        <v>396</v>
      </c>
    </row>
    <row r="21" customFormat="false" ht="15" hidden="false" customHeight="true" outlineLevel="0" collapsed="false">
      <c r="A21" s="4" t="s">
        <v>397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398</v>
      </c>
    </row>
    <row r="24" customFormat="false" ht="15" hidden="false" customHeight="true" outlineLevel="0" collapsed="false">
      <c r="A24" s="4" t="s">
        <v>399</v>
      </c>
    </row>
    <row r="25" customFormat="false" ht="15" hidden="false" customHeight="true" outlineLevel="0" collapsed="false">
      <c r="A25" s="4" t="s">
        <v>400</v>
      </c>
    </row>
    <row r="26" customFormat="false" ht="15" hidden="false" customHeight="true" outlineLevel="0" collapsed="false">
      <c r="A26" s="4" t="s">
        <v>401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402</v>
      </c>
    </row>
    <row r="29" customFormat="false" ht="15" hidden="false" customHeight="true" outlineLevel="0" collapsed="false">
      <c r="A29" s="4" t="s">
        <v>403</v>
      </c>
    </row>
    <row r="30" customFormat="false" ht="15" hidden="false" customHeight="true" outlineLevel="0" collapsed="false">
      <c r="A30" s="4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405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406</v>
      </c>
      <c r="Q3" s="5" t="s">
        <v>407</v>
      </c>
    </row>
    <row r="4" customFormat="false" ht="15" hidden="false" customHeight="true" outlineLevel="0" collapsed="false">
      <c r="A4" s="6" t="s">
        <v>408</v>
      </c>
      <c r="B4" s="7" t="n">
        <f aca="false">SUMIFS(Gastos!$G$2:$G$525,Gastos!$A$2:$A$525,"2026-01",Gastos!$F$2:$F$525,"Fijo")</f>
        <v>3133982</v>
      </c>
      <c r="C4" s="7" t="n">
        <f aca="false">SUMIFS(Gastos!$G$2:$G$525,Gastos!$A$2:$A$525,"2026-02",Gastos!$F$2:$F$525,"Fijo")</f>
        <v>5264720</v>
      </c>
      <c r="D4" s="7" t="n">
        <f aca="false">SUMIFS(Gastos!$G$2:$G$525,Gastos!$A$2:$A$525,"2026-03",Gastos!$F$2:$F$525,"Fijo")</f>
        <v>5882425</v>
      </c>
      <c r="E4" s="7" t="n">
        <f aca="false">SUMIFS(Gastos!$G$2:$G$525,Gastos!$A$2:$A$525,"2026-04",Gastos!$F$2:$F$525,"Fijo")</f>
        <v>5823043</v>
      </c>
      <c r="F4" s="7" t="n">
        <f aca="false">SUMIFS(Gastos!$G$2:$G$525,Gastos!$A$2:$A$525,"2026-05",Gastos!$F$2:$F$525,"Fijo")</f>
        <v>5981618</v>
      </c>
      <c r="G4" s="7" t="n">
        <f aca="false">SUMIFS(Gastos!$G$2:$G$525,Gastos!$A$2:$A$525,"2026-06",Gastos!$F$2:$F$525,"Fijo")</f>
        <v>5949233</v>
      </c>
      <c r="H4" s="7" t="n">
        <f aca="false">SUMIFS(Gastos!$G$2:$G$525,Gastos!$A$2:$A$525,"2026-07",Gastos!$F$2:$F$525,"Fijo")</f>
        <v>6977171</v>
      </c>
      <c r="I4" s="7" t="n">
        <f aca="false">SUMIFS(Gastos!$G$2:$G$525,Gastos!$A$2:$A$525,"2026-08",Gastos!$F$2:$F$525,"Fijo")</f>
        <v>7634299</v>
      </c>
      <c r="J4" s="7" t="n">
        <f aca="false">SUMIFS(Gastos!$G$2:$G$525,Gastos!$A$2:$A$525,"2026-09",Gastos!$F$2:$F$525,"Fijo")</f>
        <v>6773164</v>
      </c>
      <c r="K4" s="7" t="n">
        <f aca="false">SUMIFS(Gastos!$G$2:$G$525,Gastos!$A$2:$A$525,"2026-10",Gastos!$F$2:$F$525,"Fijo")</f>
        <v>5463132</v>
      </c>
      <c r="L4" s="7" t="n">
        <f aca="false">SUMIFS(Gastos!$G$2:$G$525,Gastos!$A$2:$A$525,"2026-11",Gastos!$F$2:$F$525,"Fijo")</f>
        <v>5463132</v>
      </c>
      <c r="M4" s="7" t="n">
        <f aca="false">SUMIFS(Gastos!$G$2:$G$525,Gastos!$A$2:$A$525,"2026-12",Gastos!$F$2:$F$525,"Fijo")</f>
        <v>3118132</v>
      </c>
      <c r="N4" s="7" t="n">
        <f aca="false">SUMIFS(Gastos!$G$2:$G$525,Gastos!$A$2:$A$525,"2027-01",Gastos!$F$2:$F$525,"Fijo")</f>
        <v>505932</v>
      </c>
      <c r="O4" s="7" t="n">
        <f aca="false">SUMIFS(Gastos!$G$2:$G$525,Gastos!$A$2:$A$525,"2027-02",Gastos!$F$2:$F$525,"Fijo")</f>
        <v>505932</v>
      </c>
      <c r="P4" s="7" t="n">
        <f aca="false">SUMIFS(Gastos!$G$2:$G$525,Gastos!$A$2:$A$525,"2027-03",Gastos!$F$2:$F$525,"Fijo")</f>
        <v>0</v>
      </c>
      <c r="Q4" s="8" t="n">
        <f aca="false">SUM(B4:P4)</f>
        <v>68475915</v>
      </c>
    </row>
    <row r="5" customFormat="false" ht="15" hidden="false" customHeight="true" outlineLevel="0" collapsed="false">
      <c r="A5" s="6" t="s">
        <v>409</v>
      </c>
      <c r="B5" s="7" t="n">
        <f aca="false">SUMIFS(Gastos!$G$2:$G$525,Gastos!$A$2:$A$525,"2026-01",Gastos!$F$2:$F$525,"Variable")</f>
        <v>6304755</v>
      </c>
      <c r="C5" s="7" t="n">
        <f aca="false">SUMIFS(Gastos!$G$2:$G$525,Gastos!$A$2:$A$525,"2026-02",Gastos!$F$2:$F$525,"Variable")</f>
        <v>9626002</v>
      </c>
      <c r="D5" s="7" t="n">
        <f aca="false">SUMIFS(Gastos!$G$2:$G$525,Gastos!$A$2:$A$525,"2026-03",Gastos!$F$2:$F$525,"Variable")</f>
        <v>8177007</v>
      </c>
      <c r="E5" s="7" t="n">
        <f aca="false">SUMIFS(Gastos!$G$2:$G$525,Gastos!$A$2:$A$525,"2026-04",Gastos!$F$2:$F$525,"Variable")</f>
        <v>9970945</v>
      </c>
      <c r="F5" s="7" t="n">
        <f aca="false">SUMIFS(Gastos!$G$2:$G$525,Gastos!$A$2:$A$525,"2026-05",Gastos!$F$2:$F$525,"Variable")</f>
        <v>10299475</v>
      </c>
      <c r="G5" s="7" t="n">
        <f aca="false">SUMIFS(Gastos!$G$2:$G$525,Gastos!$A$2:$A$525,"2026-06",Gastos!$F$2:$F$525,"Variable")</f>
        <v>30893365</v>
      </c>
      <c r="H5" s="7" t="n">
        <f aca="false">SUMIFS(Gastos!$G$2:$G$525,Gastos!$A$2:$A$525,"2026-07",Gastos!$F$2:$F$525,"Variable")</f>
        <v>6757280</v>
      </c>
      <c r="I5" s="7" t="n">
        <f aca="false">SUMIFS(Gastos!$G$2:$G$525,Gastos!$A$2:$A$525,"2026-08",Gastos!$F$2:$F$525,"Variable")</f>
        <v>20515574</v>
      </c>
      <c r="J5" s="7" t="n">
        <f aca="false">SUMIFS(Gastos!$G$2:$G$525,Gastos!$A$2:$A$525,"2026-09",Gastos!$F$2:$F$525,"Variable")</f>
        <v>1749790</v>
      </c>
      <c r="K5" s="7" t="n">
        <f aca="false">SUMIFS(Gastos!$G$2:$G$525,Gastos!$A$2:$A$525,"2026-10",Gastos!$F$2:$F$525,"Variable")</f>
        <v>1040000</v>
      </c>
      <c r="L5" s="7" t="n">
        <f aca="false">SUMIFS(Gastos!$G$2:$G$525,Gastos!$A$2:$A$525,"2026-11",Gastos!$F$2:$F$525,"Variable")</f>
        <v>1040000</v>
      </c>
      <c r="M5" s="7" t="n">
        <f aca="false">SUMIFS(Gastos!$G$2:$G$525,Gastos!$A$2:$A$525,"2026-12",Gastos!$F$2:$F$525,"Variable")</f>
        <v>1040000</v>
      </c>
      <c r="N5" s="7" t="n">
        <f aca="false">SUMIFS(Gastos!$G$2:$G$525,Gastos!$A$2:$A$525,"2027-01",Gastos!$F$2:$F$525,"Variable")</f>
        <v>0</v>
      </c>
      <c r="O5" s="7" t="n">
        <f aca="false">SUMIFS(Gastos!$G$2:$G$525,Gastos!$A$2:$A$525,"2027-02",Gastos!$F$2:$F$525,"Variable")</f>
        <v>0</v>
      </c>
      <c r="P5" s="7" t="n">
        <f aca="false">SUMIFS(Gastos!$G$2:$G$525,Gastos!$A$2:$A$525,"2027-03",Gastos!$F$2:$F$525,"Variable")</f>
        <v>0</v>
      </c>
      <c r="Q5" s="8" t="n">
        <f aca="false">SUM(B5:P5)</f>
        <v>107414193</v>
      </c>
    </row>
    <row r="6" customFormat="false" ht="15" hidden="false" customHeight="true" outlineLevel="0" collapsed="false">
      <c r="A6" s="6" t="s">
        <v>410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28149873</v>
      </c>
      <c r="J6" s="7" t="n">
        <f aca="false">J4+J5</f>
        <v>8522954</v>
      </c>
      <c r="K6" s="7" t="n">
        <f aca="false">K4+K5</f>
        <v>6503132</v>
      </c>
      <c r="L6" s="7" t="n">
        <f aca="false">L4+L5</f>
        <v>6503132</v>
      </c>
      <c r="M6" s="7" t="n">
        <f aca="false">M4+M5</f>
        <v>4158132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175890108</v>
      </c>
    </row>
    <row r="8" customFormat="false" ht="15" hidden="false" customHeight="true" outlineLevel="0" collapsed="false">
      <c r="A8" s="9" t="s">
        <v>411</v>
      </c>
    </row>
    <row r="9" customFormat="false" ht="15" hidden="false" customHeight="true" outlineLevel="0" collapsed="false">
      <c r="A9" s="4" t="s">
        <v>10</v>
      </c>
      <c r="B9" s="7" t="n">
        <f aca="false">SUMIFS(Gastos!$G$2:$G$525,Gastos!$A$2:$A$525,"2026-01",Gastos!$B$2:$B$525,"Servicios")</f>
        <v>286542</v>
      </c>
      <c r="C9" s="7" t="n">
        <f aca="false">SUMIFS(Gastos!$G$2:$G$525,Gastos!$A$2:$A$525,"2026-02",Gastos!$B$2:$B$525,"Servicios")</f>
        <v>883152</v>
      </c>
      <c r="D9" s="7" t="n">
        <f aca="false">SUMIFS(Gastos!$G$2:$G$525,Gastos!$A$2:$A$525,"2026-03",Gastos!$B$2:$B$525,"Servicios")</f>
        <v>1048593</v>
      </c>
      <c r="E9" s="7" t="n">
        <f aca="false">SUMIFS(Gastos!$G$2:$G$525,Gastos!$A$2:$A$525,"2026-04",Gastos!$B$2:$B$525,"Servicios")</f>
        <v>783677</v>
      </c>
      <c r="F9" s="7" t="n">
        <f aca="false">SUMIFS(Gastos!$G$2:$G$525,Gastos!$A$2:$A$525,"2026-05",Gastos!$B$2:$B$525,"Servicios")</f>
        <v>826352</v>
      </c>
      <c r="G9" s="7" t="n">
        <f aca="false">SUMIFS(Gastos!$G$2:$G$525,Gastos!$A$2:$A$525,"2026-06",Gastos!$B$2:$B$525,"Servicios")</f>
        <v>624134</v>
      </c>
      <c r="H9" s="7" t="n">
        <f aca="false">SUMIFS(Gastos!$G$2:$G$525,Gastos!$A$2:$A$525,"2026-07",Gastos!$B$2:$B$525,"Servicios")</f>
        <v>633304</v>
      </c>
      <c r="I9" s="7" t="n">
        <f aca="false">SUMIFS(Gastos!$G$2:$G$525,Gastos!$A$2:$A$525,"2026-08",Gastos!$B$2:$B$525,"Servicios")</f>
        <v>680440</v>
      </c>
      <c r="J9" s="7" t="n">
        <f aca="false">SUMIFS(Gastos!$G$2:$G$525,Gastos!$A$2:$A$525,"2026-09",Gastos!$B$2:$B$525,"Servicios")</f>
        <v>672140</v>
      </c>
      <c r="K9" s="7" t="n">
        <f aca="false">SUMIFS(Gastos!$G$2:$G$525,Gastos!$A$2:$A$525,"2026-10",Gastos!$B$2:$B$525,"Servicios")</f>
        <v>410000</v>
      </c>
      <c r="L9" s="7" t="n">
        <f aca="false">SUMIFS(Gastos!$G$2:$G$525,Gastos!$A$2:$A$525,"2026-11",Gastos!$B$2:$B$525,"Servicios")</f>
        <v>410000</v>
      </c>
      <c r="M9" s="7" t="n">
        <f aca="false">SUMIFS(Gastos!$G$2:$G$525,Gastos!$A$2:$A$525,"2026-12",Gastos!$B$2:$B$525,"Servicios")</f>
        <v>410000</v>
      </c>
      <c r="N9" s="7" t="n">
        <f aca="false">SUMIFS(Gastos!$G$2:$G$525,Gastos!$A$2:$A$525,"2027-01",Gastos!$B$2:$B$525,"Servicios")</f>
        <v>0</v>
      </c>
      <c r="O9" s="7" t="n">
        <f aca="false">SUMIFS(Gastos!$G$2:$G$525,Gastos!$A$2:$A$525,"2027-02",Gastos!$B$2:$B$525,"Servicios")</f>
        <v>0</v>
      </c>
      <c r="P9" s="7" t="n">
        <f aca="false">SUMIFS(Gastos!$G$2:$G$525,Gastos!$A$2:$A$525,"2027-03",Gastos!$B$2:$B$525,"Servicios")</f>
        <v>0</v>
      </c>
      <c r="Q9" s="7" t="n">
        <f aca="false">SUM(B9:P9)</f>
        <v>7668334</v>
      </c>
    </row>
    <row r="10" customFormat="false" ht="15" hidden="false" customHeight="true" outlineLevel="0" collapsed="false">
      <c r="A10" s="4" t="s">
        <v>16</v>
      </c>
      <c r="B10" s="7" t="n">
        <f aca="false">SUMIFS(Gastos!$G$2:$G$525,Gastos!$A$2:$A$525,"2026-01",Gastos!$B$2:$B$525,"Telecomunicaciones")</f>
        <v>260000</v>
      </c>
      <c r="C10" s="7" t="n">
        <f aca="false">SUMIFS(Gastos!$G$2:$G$525,Gastos!$A$2:$A$525,"2026-02",Gastos!$B$2:$B$525,"Telecomunicaciones")</f>
        <v>260000</v>
      </c>
      <c r="D10" s="7" t="n">
        <f aca="false">SUMIFS(Gastos!$G$2:$G$525,Gastos!$A$2:$A$525,"2026-03",Gastos!$B$2:$B$525,"Telecomunicaciones")</f>
        <v>260000</v>
      </c>
      <c r="E10" s="7" t="n">
        <f aca="false">SUMIFS(Gastos!$G$2:$G$525,Gastos!$A$2:$A$525,"2026-04",Gastos!$B$2:$B$525,"Telecomunicaciones")</f>
        <v>260000</v>
      </c>
      <c r="F10" s="7" t="n">
        <f aca="false">SUMIFS(Gastos!$G$2:$G$525,Gastos!$A$2:$A$525,"2026-05",Gastos!$B$2:$B$525,"Telecomunicaciones")</f>
        <v>260000</v>
      </c>
      <c r="G10" s="7" t="n">
        <f aca="false">SUMIFS(Gastos!$G$2:$G$525,Gastos!$A$2:$A$525,"2026-06",Gastos!$B$2:$B$525,"Telecomunicaciones")</f>
        <v>262000</v>
      </c>
      <c r="H10" s="7" t="n">
        <f aca="false">SUMIFS(Gastos!$G$2:$G$525,Gastos!$A$2:$A$525,"2026-07",Gastos!$B$2:$B$525,"Telecomunicaciones")</f>
        <v>130000</v>
      </c>
      <c r="I10" s="7" t="n">
        <f aca="false">SUMIFS(Gastos!$G$2:$G$525,Gastos!$A$2:$A$525,"2026-08",Gastos!$B$2:$B$525,"Telecomunicaciones")</f>
        <v>260000</v>
      </c>
      <c r="J10" s="7" t="n">
        <f aca="false">SUMIFS(Gastos!$G$2:$G$525,Gastos!$A$2:$A$525,"2026-09",Gastos!$B$2:$B$525,"Telecomunicaciones")</f>
        <v>270000</v>
      </c>
      <c r="K10" s="7" t="n">
        <f aca="false">SUMIFS(Gastos!$G$2:$G$525,Gastos!$A$2:$A$525,"2026-10",Gastos!$B$2:$B$525,"Telecomunicaciones")</f>
        <v>260000</v>
      </c>
      <c r="L10" s="7" t="n">
        <f aca="false">SUMIFS(Gastos!$G$2:$G$525,Gastos!$A$2:$A$525,"2026-11",Gastos!$B$2:$B$525,"Telecomunicaciones")</f>
        <v>260000</v>
      </c>
      <c r="M10" s="7" t="n">
        <f aca="false">SUMIFS(Gastos!$G$2:$G$525,Gastos!$A$2:$A$525,"2026-12",Gastos!$B$2:$B$525,"Telecomunicaciones")</f>
        <v>260000</v>
      </c>
      <c r="N10" s="7" t="n">
        <f aca="false">SUMIFS(Gastos!$G$2:$G$525,Gastos!$A$2:$A$525,"2027-01",Gastos!$B$2:$B$525,"Telecomunicaciones")</f>
        <v>0</v>
      </c>
      <c r="O10" s="7" t="n">
        <f aca="false">SUMIFS(Gastos!$G$2:$G$525,Gastos!$A$2:$A$525,"2027-02",Gastos!$B$2:$B$525,"Telecomunicaciones")</f>
        <v>0</v>
      </c>
      <c r="P10" s="7" t="n">
        <f aca="false">SUMIFS(Gastos!$G$2:$G$525,Gastos!$A$2:$A$525,"2027-03",Gastos!$B$2:$B$525,"Telecomunicaciones")</f>
        <v>0</v>
      </c>
      <c r="Q10" s="7" t="n">
        <f aca="false">SUM(B10:P10)</f>
        <v>3002000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SUMIFS(Gastos!$G$2:$G$525,Gastos!$A$2:$A$525,"2026-01",Gastos!$B$2:$B$525,"Educación")</f>
        <v>0</v>
      </c>
      <c r="C11" s="7" t="n">
        <f aca="false">SUMIFS(Gastos!$G$2:$G$525,Gastos!$A$2:$A$525,"2026-02",Gastos!$B$2:$B$525,"Educación")</f>
        <v>2345000</v>
      </c>
      <c r="D11" s="7" t="n">
        <f aca="false">SUMIFS(Gastos!$G$2:$G$525,Gastos!$A$2:$A$525,"2026-03",Gastos!$B$2:$B$525,"Educación")</f>
        <v>3385000</v>
      </c>
      <c r="E11" s="7" t="n">
        <f aca="false">SUMIFS(Gastos!$G$2:$G$525,Gastos!$A$2:$A$525,"2026-04",Gastos!$B$2:$B$525,"Educación")</f>
        <v>3385000</v>
      </c>
      <c r="F11" s="7" t="n">
        <f aca="false">SUMIFS(Gastos!$G$2:$G$525,Gastos!$A$2:$A$525,"2026-05",Gastos!$B$2:$B$525,"Educación")</f>
        <v>3385000</v>
      </c>
      <c r="G11" s="7" t="n">
        <f aca="false">SUMIFS(Gastos!$G$2:$G$525,Gastos!$A$2:$A$525,"2026-06",Gastos!$B$2:$B$525,"Educación")</f>
        <v>3385000</v>
      </c>
      <c r="H11" s="7" t="n">
        <f aca="false">SUMIFS(Gastos!$G$2:$G$525,Gastos!$A$2:$A$525,"2026-07",Gastos!$B$2:$B$525,"Educación")</f>
        <v>3385000</v>
      </c>
      <c r="I11" s="7" t="n">
        <f aca="false">SUMIFS(Gastos!$G$2:$G$525,Gastos!$A$2:$A$525,"2026-08",Gastos!$B$2:$B$525,"Educación")</f>
        <v>3385000</v>
      </c>
      <c r="J11" s="7" t="n">
        <f aca="false">SUMIFS(Gastos!$G$2:$G$525,Gastos!$A$2:$A$525,"2026-09",Gastos!$B$2:$B$525,"Educación")</f>
        <v>3385000</v>
      </c>
      <c r="K11" s="7" t="n">
        <f aca="false">SUMIFS(Gastos!$G$2:$G$525,Gastos!$A$2:$A$525,"2026-10",Gastos!$B$2:$B$525,"Educación")</f>
        <v>3385000</v>
      </c>
      <c r="L11" s="7" t="n">
        <f aca="false">SUMIFS(Gastos!$G$2:$G$525,Gastos!$A$2:$A$525,"2026-11",Gastos!$B$2:$B$525,"Educación")</f>
        <v>3385000</v>
      </c>
      <c r="M11" s="7" t="n">
        <f aca="false">SUMIFS(Gastos!$G$2:$G$525,Gastos!$A$2:$A$525,"2026-12",Gastos!$B$2:$B$525,"Educación")</f>
        <v>1040000</v>
      </c>
      <c r="N11" s="7" t="n">
        <f aca="false">SUMIFS(Gastos!$G$2:$G$525,Gastos!$A$2:$A$525,"2027-01",Gastos!$B$2:$B$525,"Educación")</f>
        <v>0</v>
      </c>
      <c r="O11" s="7" t="n">
        <f aca="false">SUMIFS(Gastos!$G$2:$G$525,Gastos!$A$2:$A$525,"2027-02",Gastos!$B$2:$B$525,"Educación")</f>
        <v>0</v>
      </c>
      <c r="P11" s="7" t="n">
        <f aca="false">SUMIFS(Gastos!$G$2:$G$525,Gastos!$A$2:$A$525,"2027-03",Gastos!$B$2:$B$525,"Educación")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SUMIFS(Gastos!$G$2:$G$525,Gastos!$A$2:$A$525,"2026-01",Gastos!$B$2:$B$525,"Salud")</f>
        <v>1256200</v>
      </c>
      <c r="C12" s="7" t="n">
        <f aca="false">SUMIFS(Gastos!$G$2:$G$525,Gastos!$A$2:$A$525,"2026-02",Gastos!$B$2:$B$525,"Salud")</f>
        <v>1256200</v>
      </c>
      <c r="D12" s="7" t="n">
        <f aca="false">SUMIFS(Gastos!$G$2:$G$525,Gastos!$A$2:$A$525,"2026-03",Gastos!$B$2:$B$525,"Salud")</f>
        <v>1548449</v>
      </c>
      <c r="E12" s="7" t="n">
        <f aca="false">SUMIFS(Gastos!$G$2:$G$525,Gastos!$A$2:$A$525,"2026-04",Gastos!$B$2:$B$525,"Salud")</f>
        <v>1256200</v>
      </c>
      <c r="F12" s="7" t="n">
        <f aca="false">SUMIFS(Gastos!$G$2:$G$525,Gastos!$A$2:$A$525,"2026-05",Gastos!$B$2:$B$525,"Salud")</f>
        <v>1306200</v>
      </c>
      <c r="G12" s="7" t="n">
        <f aca="false">SUMIFS(Gastos!$G$2:$G$525,Gastos!$A$2:$A$525,"2026-06",Gastos!$B$2:$B$525,"Salud")</f>
        <v>1256200</v>
      </c>
      <c r="H12" s="7" t="n">
        <f aca="false">SUMIFS(Gastos!$G$2:$G$525,Gastos!$A$2:$A$525,"2026-07",Gastos!$B$2:$B$525,"Salud")</f>
        <v>1256200</v>
      </c>
      <c r="I12" s="7" t="n">
        <f aca="false">SUMIFS(Gastos!$G$2:$G$525,Gastos!$A$2:$A$525,"2026-08",Gastos!$B$2:$B$525,"Salud")</f>
        <v>1834914</v>
      </c>
      <c r="J12" s="7" t="n">
        <f aca="false">SUMIFS(Gastos!$G$2:$G$525,Gastos!$A$2:$A$525,"2026-09",Gastos!$B$2:$B$525,"Salud")</f>
        <v>1256200</v>
      </c>
      <c r="K12" s="7" t="n">
        <f aca="false">SUMIFS(Gastos!$G$2:$G$525,Gastos!$A$2:$A$525,"2026-10",Gastos!$B$2:$B$525,"Salud")</f>
        <v>1256200</v>
      </c>
      <c r="L12" s="7" t="n">
        <f aca="false">SUMIFS(Gastos!$G$2:$G$525,Gastos!$A$2:$A$525,"2026-11",Gastos!$B$2:$B$525,"Salud")</f>
        <v>1256200</v>
      </c>
      <c r="M12" s="7" t="n">
        <f aca="false">SUMIFS(Gastos!$G$2:$G$525,Gastos!$A$2:$A$525,"2026-12",Gastos!$B$2:$B$525,"Salud")</f>
        <v>1256200</v>
      </c>
      <c r="N12" s="7" t="n">
        <f aca="false">SUMIFS(Gastos!$G$2:$G$525,Gastos!$A$2:$A$525,"2027-01",Gastos!$B$2:$B$525,"Salud")</f>
        <v>0</v>
      </c>
      <c r="O12" s="7" t="n">
        <f aca="false">SUMIFS(Gastos!$G$2:$G$525,Gastos!$A$2:$A$525,"2027-02",Gastos!$B$2:$B$525,"Salud")</f>
        <v>0</v>
      </c>
      <c r="P12" s="7" t="n">
        <f aca="false">SUMIFS(Gastos!$G$2:$G$525,Gastos!$A$2:$A$525,"2027-03",Gastos!$B$2:$B$525,"Salud")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SUMIFS(Gastos!$G$2:$G$525,Gastos!$A$2:$A$525,"2026-01",Gastos!$B$2:$B$525,"Seguros")</f>
        <v>1057700</v>
      </c>
      <c r="C13" s="7" t="n">
        <f aca="false">SUMIFS(Gastos!$G$2:$G$525,Gastos!$A$2:$A$525,"2026-02",Gastos!$B$2:$B$525,"Seguros")</f>
        <v>710897</v>
      </c>
      <c r="D13" s="7" t="n">
        <f aca="false">SUMIFS(Gastos!$G$2:$G$525,Gastos!$A$2:$A$525,"2026-03",Gastos!$B$2:$B$525,"Seguros")</f>
        <v>708661</v>
      </c>
      <c r="E13" s="7" t="n">
        <f aca="false">SUMIFS(Gastos!$G$2:$G$525,Gastos!$A$2:$A$525,"2026-04",Gastos!$B$2:$B$525,"Seguros")</f>
        <v>730525</v>
      </c>
      <c r="F13" s="7" t="n">
        <f aca="false">SUMIFS(Gastos!$G$2:$G$525,Gastos!$A$2:$A$525,"2026-05",Gastos!$B$2:$B$525,"Seguros")</f>
        <v>728410</v>
      </c>
      <c r="G13" s="7" t="n">
        <f aca="false">SUMIFS(Gastos!$G$2:$G$525,Gastos!$A$2:$A$525,"2026-06",Gastos!$B$2:$B$525,"Seguros")</f>
        <v>1086789</v>
      </c>
      <c r="H13" s="7" t="n">
        <f aca="false">SUMIFS(Gastos!$G$2:$G$525,Gastos!$A$2:$A$525,"2026-07",Gastos!$B$2:$B$525,"Seguros")</f>
        <v>814937</v>
      </c>
      <c r="I13" s="7" t="n">
        <f aca="false">SUMIFS(Gastos!$G$2:$G$525,Gastos!$A$2:$A$525,"2026-08",Gastos!$B$2:$B$525,"Seguros")</f>
        <v>770510</v>
      </c>
      <c r="J13" s="7" t="n">
        <f aca="false">SUMIFS(Gastos!$G$2:$G$525,Gastos!$A$2:$A$525,"2026-09",Gastos!$B$2:$B$525,"Seguros")</f>
        <v>686000</v>
      </c>
      <c r="K13" s="7" t="n">
        <f aca="false">SUMIFS(Gastos!$G$2:$G$525,Gastos!$A$2:$A$525,"2026-10",Gastos!$B$2:$B$525,"Seguros")</f>
        <v>686000</v>
      </c>
      <c r="L13" s="7" t="n">
        <f aca="false">SUMIFS(Gastos!$G$2:$G$525,Gastos!$A$2:$A$525,"2026-11",Gastos!$B$2:$B$525,"Seguros")</f>
        <v>686000</v>
      </c>
      <c r="M13" s="7" t="n">
        <f aca="false">SUMIFS(Gastos!$G$2:$G$525,Gastos!$A$2:$A$525,"2026-12",Gastos!$B$2:$B$525,"Seguros")</f>
        <v>686000</v>
      </c>
      <c r="N13" s="7" t="n">
        <f aca="false">SUMIFS(Gastos!$G$2:$G$525,Gastos!$A$2:$A$525,"2027-01",Gastos!$B$2:$B$525,"Seguros")</f>
        <v>0</v>
      </c>
      <c r="O13" s="7" t="n">
        <f aca="false">SUMIFS(Gastos!$G$2:$G$525,Gastos!$A$2:$A$525,"2027-02",Gastos!$B$2:$B$525,"Seguros")</f>
        <v>0</v>
      </c>
      <c r="P13" s="7" t="n">
        <f aca="false">SUMIFS(Gastos!$G$2:$G$525,Gastos!$A$2:$A$525,"2027-03",Gastos!$B$2:$B$525,"Seguros")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SUMIFS(Gastos!$G$2:$G$525,Gastos!$A$2:$A$525,"2026-01",Gastos!$B$2:$B$525,"Suscripciones")</f>
        <v>343055</v>
      </c>
      <c r="C14" s="7" t="n">
        <f aca="false">SUMIFS(Gastos!$G$2:$G$525,Gastos!$A$2:$A$525,"2026-02",Gastos!$B$2:$B$525,"Suscripciones")</f>
        <v>281793</v>
      </c>
      <c r="D14" s="7" t="n">
        <f aca="false">SUMIFS(Gastos!$G$2:$G$525,Gastos!$A$2:$A$525,"2026-03",Gastos!$B$2:$B$525,"Suscripciones")</f>
        <v>396566</v>
      </c>
      <c r="E14" s="7" t="n">
        <f aca="false">SUMIFS(Gastos!$G$2:$G$525,Gastos!$A$2:$A$525,"2026-04",Gastos!$B$2:$B$525,"Suscripciones")</f>
        <v>337184</v>
      </c>
      <c r="F14" s="7" t="n">
        <f aca="false">SUMIFS(Gastos!$G$2:$G$525,Gastos!$A$2:$A$525,"2026-05",Gastos!$B$2:$B$525,"Suscripciones")</f>
        <v>495759</v>
      </c>
      <c r="G14" s="7" t="n">
        <f aca="false">SUMIFS(Gastos!$G$2:$G$525,Gastos!$A$2:$A$525,"2026-06",Gastos!$B$2:$B$525,"Suscripciones")</f>
        <v>461374</v>
      </c>
      <c r="H14" s="7" t="n">
        <f aca="false">SUMIFS(Gastos!$G$2:$G$525,Gastos!$A$2:$A$525,"2026-07",Gastos!$B$2:$B$525,"Suscripciones")</f>
        <v>620062</v>
      </c>
      <c r="I14" s="7" t="n">
        <f aca="false">SUMIFS(Gastos!$G$2:$G$525,Gastos!$A$2:$A$525,"2026-08",Gastos!$B$2:$B$525,"Suscripciones")</f>
        <v>825549</v>
      </c>
      <c r="J14" s="7" t="n">
        <f aca="false">SUMIFS(Gastos!$G$2:$G$525,Gastos!$A$2:$A$525,"2026-09",Gastos!$B$2:$B$525,"Suscripciones")</f>
        <v>0</v>
      </c>
      <c r="K14" s="7" t="n">
        <f aca="false">SUMIFS(Gastos!$G$2:$G$525,Gastos!$A$2:$A$525,"2026-10",Gastos!$B$2:$B$525,"Suscripciones")</f>
        <v>0</v>
      </c>
      <c r="L14" s="7" t="n">
        <f aca="false">SUMIFS(Gastos!$G$2:$G$525,Gastos!$A$2:$A$525,"2026-11",Gastos!$B$2:$B$525,"Suscripciones")</f>
        <v>0</v>
      </c>
      <c r="M14" s="7" t="n">
        <f aca="false">SUMIFS(Gastos!$G$2:$G$525,Gastos!$A$2:$A$525,"2026-12",Gastos!$B$2:$B$525,"Suscripciones")</f>
        <v>0</v>
      </c>
      <c r="N14" s="7" t="n">
        <f aca="false">SUMIFS(Gastos!$G$2:$G$525,Gastos!$A$2:$A$525,"2027-01",Gastos!$B$2:$B$525,"Suscripciones")</f>
        <v>0</v>
      </c>
      <c r="O14" s="7" t="n">
        <f aca="false">SUMIFS(Gastos!$G$2:$G$525,Gastos!$A$2:$A$525,"2027-02",Gastos!$B$2:$B$525,"Suscripciones")</f>
        <v>0</v>
      </c>
      <c r="P14" s="7" t="n">
        <f aca="false">SUMIFS(Gastos!$G$2:$G$525,Gastos!$A$2:$A$525,"2027-03",Gastos!$B$2:$B$525,"Suscripciones")</f>
        <v>0</v>
      </c>
      <c r="Q14" s="7" t="n">
        <f aca="false">SUM(B14:P14)</f>
        <v>3761342</v>
      </c>
    </row>
    <row r="15" customFormat="false" ht="15" hidden="false" customHeight="true" outlineLevel="0" collapsed="false">
      <c r="A15" s="4" t="s">
        <v>47</v>
      </c>
      <c r="B15" s="7" t="n">
        <f aca="false">SUMIFS(Gastos!$G$2:$G$525,Gastos!$A$2:$A$525,"2026-01",Gastos!$B$2:$B$525,"Compras adicionales")</f>
        <v>0</v>
      </c>
      <c r="C15" s="7" t="n">
        <f aca="false">SUMIFS(Gastos!$G$2:$G$525,Gastos!$A$2:$A$525,"2026-02",Gastos!$B$2:$B$525,"Compras adicionales")</f>
        <v>0</v>
      </c>
      <c r="D15" s="7" t="n">
        <f aca="false">SUMIFS(Gastos!$G$2:$G$525,Gastos!$A$2:$A$525,"2026-03",Gastos!$B$2:$B$525,"Compras adicionales")</f>
        <v>505932</v>
      </c>
      <c r="E15" s="7" t="n">
        <f aca="false">SUMIFS(Gastos!$G$2:$G$525,Gastos!$A$2:$A$525,"2026-04",Gastos!$B$2:$B$525,"Compras adicionales")</f>
        <v>470932</v>
      </c>
      <c r="F15" s="7" t="n">
        <f aca="false">SUMIFS(Gastos!$G$2:$G$525,Gastos!$A$2:$A$525,"2026-05",Gastos!$B$2:$B$525,"Compras adicionales")</f>
        <v>505932</v>
      </c>
      <c r="G15" s="7" t="n">
        <f aca="false">SUMIFS(Gastos!$G$2:$G$525,Gastos!$A$2:$A$525,"2026-06",Gastos!$B$2:$B$525,"Compras adicionales")</f>
        <v>505932</v>
      </c>
      <c r="H15" s="7" t="n">
        <f aca="false">SUMIFS(Gastos!$G$2:$G$525,Gastos!$A$2:$A$525,"2026-07",Gastos!$B$2:$B$525,"Compras adicionales")</f>
        <v>1507182</v>
      </c>
      <c r="I15" s="7" t="n">
        <f aca="false">SUMIFS(Gastos!$G$2:$G$525,Gastos!$A$2:$A$525,"2026-08",Gastos!$B$2:$B$525,"Compras adicionales")</f>
        <v>1812640</v>
      </c>
      <c r="J15" s="7" t="n">
        <f aca="false">SUMIFS(Gastos!$G$2:$G$525,Gastos!$A$2:$A$525,"2026-09",Gastos!$B$2:$B$525,"Compras adicionales")</f>
        <v>1805964</v>
      </c>
      <c r="K15" s="7" t="n">
        <f aca="false">SUMIFS(Gastos!$G$2:$G$525,Gastos!$A$2:$A$525,"2026-10",Gastos!$B$2:$B$525,"Compras adicionales")</f>
        <v>505932</v>
      </c>
      <c r="L15" s="7" t="n">
        <f aca="false">SUMIFS(Gastos!$G$2:$G$525,Gastos!$A$2:$A$525,"2026-11",Gastos!$B$2:$B$525,"Compras adicionales")</f>
        <v>505932</v>
      </c>
      <c r="M15" s="7" t="n">
        <f aca="false">SUMIFS(Gastos!$G$2:$G$525,Gastos!$A$2:$A$525,"2026-12",Gastos!$B$2:$B$525,"Compras adicionales")</f>
        <v>505932</v>
      </c>
      <c r="N15" s="7" t="n">
        <f aca="false">SUMIFS(Gastos!$G$2:$G$525,Gastos!$A$2:$A$525,"2027-01",Gastos!$B$2:$B$525,"Compras adicionales")</f>
        <v>505932</v>
      </c>
      <c r="O15" s="7" t="n">
        <f aca="false">SUMIFS(Gastos!$G$2:$G$525,Gastos!$A$2:$A$525,"2027-02",Gastos!$B$2:$B$525,"Compras adicionales")</f>
        <v>505932</v>
      </c>
      <c r="P15" s="7" t="n">
        <f aca="false">SUMIFS(Gastos!$G$2:$G$525,Gastos!$A$2:$A$525,"2027-03",Gastos!$B$2:$B$525,"Compras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SUMIFS(Gastos!$G$2:$G$525,Gastos!$A$2:$A$525,"2026-01",Gastos!$B$2:$B$525,"Día a día")</f>
        <v>5861720</v>
      </c>
      <c r="C16" s="7" t="n">
        <f aca="false">SUMIFS(Gastos!$G$2:$G$525,Gastos!$A$2:$A$525,"2026-02",Gastos!$B$2:$B$525,"Día a día")</f>
        <v>8780160</v>
      </c>
      <c r="D16" s="7" t="n">
        <f aca="false">SUMIFS(Gastos!$G$2:$G$525,Gastos!$A$2:$A$525,"2026-03",Gastos!$B$2:$B$525,"Día a día")</f>
        <v>5832711</v>
      </c>
      <c r="E16" s="7" t="n">
        <f aca="false">SUMIFS(Gastos!$G$2:$G$525,Gastos!$A$2:$A$525,"2026-04",Gastos!$B$2:$B$525,"Día a día")</f>
        <v>6178045</v>
      </c>
      <c r="F16" s="7" t="n">
        <f aca="false">SUMIFS(Gastos!$G$2:$G$525,Gastos!$A$2:$A$525,"2026-05",Gastos!$B$2:$B$525,"Día a día")</f>
        <v>5382047</v>
      </c>
      <c r="G16" s="7" t="n">
        <f aca="false">SUMIFS(Gastos!$G$2:$G$525,Gastos!$A$2:$A$525,"2026-06",Gastos!$B$2:$B$525,"Día a día")</f>
        <v>5089768</v>
      </c>
      <c r="H16" s="7" t="n">
        <f aca="false">SUMIFS(Gastos!$G$2:$G$525,Gastos!$A$2:$A$525,"2026-07",Gastos!$B$2:$B$525,"Día a día")</f>
        <v>5387766</v>
      </c>
      <c r="I16" s="7" t="n">
        <f aca="false">SUMIFS(Gastos!$G$2:$G$525,Gastos!$A$2:$A$525,"2026-08",Gastos!$B$2:$B$525,"Día a día")</f>
        <v>18192710</v>
      </c>
      <c r="J16" s="7" t="n">
        <f aca="false">SUMIFS(Gastos!$G$2:$G$525,Gastos!$A$2:$A$525,"2026-09",Gastos!$B$2:$B$525,"Día a día")</f>
        <v>447650</v>
      </c>
      <c r="K16" s="7" t="n">
        <f aca="false">SUMIFS(Gastos!$G$2:$G$525,Gastos!$A$2:$A$525,"2026-10",Gastos!$B$2:$B$525,"Día a día")</f>
        <v>0</v>
      </c>
      <c r="L16" s="7" t="n">
        <f aca="false">SUMIFS(Gastos!$G$2:$G$525,Gastos!$A$2:$A$525,"2026-11",Gastos!$B$2:$B$525,"Día a día")</f>
        <v>0</v>
      </c>
      <c r="M16" s="7" t="n">
        <f aca="false">SUMIFS(Gastos!$G$2:$G$525,Gastos!$A$2:$A$525,"2026-12",Gastos!$B$2:$B$525,"Día a día")</f>
        <v>0</v>
      </c>
      <c r="N16" s="7" t="n">
        <f aca="false">SUMIFS(Gastos!$G$2:$G$525,Gastos!$A$2:$A$525,"2027-01",Gastos!$B$2:$B$525,"Día a día")</f>
        <v>0</v>
      </c>
      <c r="O16" s="7" t="n">
        <f aca="false">SUMIFS(Gastos!$G$2:$G$525,Gastos!$A$2:$A$525,"2027-02",Gastos!$B$2:$B$525,"Día a día")</f>
        <v>0</v>
      </c>
      <c r="P16" s="7" t="n">
        <f aca="false">SUMIFS(Gastos!$G$2:$G$525,Gastos!$A$2:$A$525,"2027-03",Gastos!$B$2:$B$525,"Día a día")</f>
        <v>0</v>
      </c>
      <c r="Q16" s="7" t="n">
        <f aca="false">SUM(B16:P16)</f>
        <v>61152577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SUMIFS(Gastos!$G$2:$G$525,Gastos!$A$2:$A$525,"2026-01",Gastos!$B$2:$B$525,"IPS")</f>
        <v>0</v>
      </c>
      <c r="C17" s="7" t="n">
        <f aca="false">SUMIFS(Gastos!$G$2:$G$525,Gastos!$A$2:$A$525,"2026-02",Gastos!$B$2:$B$525,"IPS")</f>
        <v>0</v>
      </c>
      <c r="D17" s="7" t="n">
        <f aca="false">SUMIFS(Gastos!$G$2:$G$525,Gastos!$A$2:$A$525,"2026-03",Gastos!$B$2:$B$525,"IPS")</f>
        <v>0</v>
      </c>
      <c r="E17" s="7" t="n">
        <f aca="false">SUMIFS(Gastos!$G$2:$G$525,Gastos!$A$2:$A$525,"2026-04",Gastos!$B$2:$B$525,"IPS")</f>
        <v>0</v>
      </c>
      <c r="F17" s="7" t="n">
        <f aca="false">SUMIFS(Gastos!$G$2:$G$525,Gastos!$A$2:$A$525,"2026-05",Gastos!$B$2:$B$525,"IPS")</f>
        <v>0</v>
      </c>
      <c r="G17" s="7" t="n">
        <f aca="false">SUMIFS(Gastos!$G$2:$G$525,Gastos!$A$2:$A$525,"2026-06",Gastos!$B$2:$B$525,"IPS")</f>
        <v>0</v>
      </c>
      <c r="H17" s="7" t="n">
        <f aca="false">SUMIFS(Gastos!$G$2:$G$525,Gastos!$A$2:$A$525,"2026-07",Gastos!$B$2:$B$525,"IPS")</f>
        <v>0</v>
      </c>
      <c r="I17" s="7" t="n">
        <f aca="false">SUMIFS(Gastos!$G$2:$G$525,Gastos!$A$2:$A$525,"2026-08",Gastos!$B$2:$B$525,"IPS")</f>
        <v>388110</v>
      </c>
      <c r="J17" s="7" t="n">
        <f aca="false">SUMIFS(Gastos!$G$2:$G$525,Gastos!$A$2:$A$525,"2026-09",Gastos!$B$2:$B$525,"IPS")</f>
        <v>0</v>
      </c>
      <c r="K17" s="7" t="n">
        <f aca="false">SUMIFS(Gastos!$G$2:$G$525,Gastos!$A$2:$A$525,"2026-10",Gastos!$B$2:$B$525,"IPS")</f>
        <v>0</v>
      </c>
      <c r="L17" s="7" t="n">
        <f aca="false">SUMIFS(Gastos!$G$2:$G$525,Gastos!$A$2:$A$525,"2026-11",Gastos!$B$2:$B$525,"IPS")</f>
        <v>0</v>
      </c>
      <c r="M17" s="7" t="n">
        <f aca="false">SUMIFS(Gastos!$G$2:$G$525,Gastos!$A$2:$A$525,"2026-12",Gastos!$B$2:$B$525,"IPS")</f>
        <v>0</v>
      </c>
      <c r="N17" s="7" t="n">
        <f aca="false">SUMIFS(Gastos!$G$2:$G$525,Gastos!$A$2:$A$525,"2027-01",Gastos!$B$2:$B$525,"IPS")</f>
        <v>0</v>
      </c>
      <c r="O17" s="7" t="n">
        <f aca="false">SUMIFS(Gastos!$G$2:$G$525,Gastos!$A$2:$A$525,"2027-02",Gastos!$B$2:$B$525,"IPS")</f>
        <v>0</v>
      </c>
      <c r="P17" s="7" t="n">
        <f aca="false">SUMIFS(Gastos!$G$2:$G$525,Gastos!$A$2:$A$525,"2027-03",Gastos!$B$2:$B$525,"IPS")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SUMIFS(Gastos!$G$2:$G$525,Gastos!$A$2:$A$525,"2026-01",Gastos!$B$2:$B$525,"Viajes")</f>
        <v>373520</v>
      </c>
      <c r="C18" s="7" t="n">
        <f aca="false">SUMIFS(Gastos!$G$2:$G$525,Gastos!$A$2:$A$525,"2026-02",Gastos!$B$2:$B$525,"Viajes")</f>
        <v>373520</v>
      </c>
      <c r="D18" s="7" t="n">
        <f aca="false">SUMIFS(Gastos!$G$2:$G$525,Gastos!$A$2:$A$525,"2026-03",Gastos!$B$2:$B$525,"Viajes")</f>
        <v>373520</v>
      </c>
      <c r="E18" s="7" t="n">
        <f aca="false">SUMIFS(Gastos!$G$2:$G$525,Gastos!$A$2:$A$525,"2026-04",Gastos!$B$2:$B$525,"Viajes")</f>
        <v>2392425</v>
      </c>
      <c r="F18" s="7" t="n">
        <f aca="false">SUMIFS(Gastos!$G$2:$G$525,Gastos!$A$2:$A$525,"2026-05",Gastos!$B$2:$B$525,"Viajes")</f>
        <v>3391393</v>
      </c>
      <c r="G18" s="7" t="n">
        <f aca="false">SUMIFS(Gastos!$G$2:$G$525,Gastos!$A$2:$A$525,"2026-06",Gastos!$B$2:$B$525,"Viajes")</f>
        <v>24171401</v>
      </c>
      <c r="H18" s="7" t="n">
        <f aca="false">SUMIFS(Gastos!$G$2:$G$525,Gastos!$A$2:$A$525,"2026-07",Gastos!$B$2:$B$525,"Viajes")</f>
        <v>0</v>
      </c>
      <c r="I18" s="7" t="n">
        <f aca="false">SUMIFS(Gastos!$G$2:$G$525,Gastos!$A$2:$A$525,"2026-08",Gastos!$B$2:$B$525,"Viajes")</f>
        <v>0</v>
      </c>
      <c r="J18" s="7" t="n">
        <f aca="false">SUMIFS(Gastos!$G$2:$G$525,Gastos!$A$2:$A$525,"2026-09",Gastos!$B$2:$B$525,"Viajes")</f>
        <v>0</v>
      </c>
      <c r="K18" s="7" t="n">
        <f aca="false">SUMIFS(Gastos!$G$2:$G$525,Gastos!$A$2:$A$525,"2026-10",Gastos!$B$2:$B$525,"Viajes")</f>
        <v>0</v>
      </c>
      <c r="L18" s="7" t="n">
        <f aca="false">SUMIFS(Gastos!$G$2:$G$525,Gastos!$A$2:$A$525,"2026-11",Gastos!$B$2:$B$525,"Viajes")</f>
        <v>0</v>
      </c>
      <c r="M18" s="7" t="n">
        <f aca="false">SUMIFS(Gastos!$G$2:$G$525,Gastos!$A$2:$A$525,"2026-12",Gastos!$B$2:$B$525,"Viajes")</f>
        <v>0</v>
      </c>
      <c r="N18" s="7" t="n">
        <f aca="false">SUMIFS(Gastos!$G$2:$G$525,Gastos!$A$2:$A$525,"2027-01",Gastos!$B$2:$B$525,"Viajes")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2026-09-03T17:17:33Z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