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" sheetId="1" state="visible" r:id="rId3"/>
    <sheet name="Supuestos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<sst xmlns="http://schemas.openxmlformats.org/spreadsheetml/2006/main" count="3277" uniqueCount="410">
  <si>
    <t xml:space="preserve">Mes</t>
  </si>
  <si>
    <t xml:space="preserve">Categoría</t>
  </si>
  <si>
    <t xml:space="preserve">Subcategoría</t>
  </si>
  <si>
    <t xml:space="preserve">Fecha</t>
  </si>
  <si>
    <t xml:space="preserve">Concepto</t>
  </si>
  <si>
    <t xml:space="preserve">Fijo/Variable</t>
  </si>
  <si>
    <t xml:space="preserve">Monto (Gs.)</t>
  </si>
  <si>
    <t xml:space="preserve">Método de pago</t>
  </si>
  <si>
    <t xml:space="preserve">Notas</t>
  </si>
  <si>
    <t xml:space="preserve">2026-08</t>
  </si>
  <si>
    <t xml:space="preserve">Servicios</t>
  </si>
  <si>
    <t xml:space="preserve">ANDE (electricidad)</t>
  </si>
  <si>
    <t xml:space="preserve">Variable</t>
  </si>
  <si>
    <t xml:space="preserve">Tarjeta de crédito</t>
  </si>
  <si>
    <t xml:space="preserve">ANDE - cargo del banco</t>
  </si>
  <si>
    <t xml:space="preserve">Débito automático</t>
  </si>
  <si>
    <t xml:space="preserve">Telecomunicaciones</t>
  </si>
  <si>
    <t xml:space="preserve">Personal - línea Jay</t>
  </si>
  <si>
    <t xml:space="preserve">Fijo</t>
  </si>
  <si>
    <t xml:space="preserve">Educación</t>
  </si>
  <si>
    <t xml:space="preserve">Cuota colegio Rufina</t>
  </si>
  <si>
    <t xml:space="preserve">Salud</t>
  </si>
  <si>
    <t xml:space="preserve">Oami - seguro médico Jay y Rufina</t>
  </si>
  <si>
    <t xml:space="preserve">Internet</t>
  </si>
  <si>
    <t xml:space="preserve">Bek - colonia Rufi</t>
  </si>
  <si>
    <t xml:space="preserve">Transferencia</t>
  </si>
  <si>
    <t xml:space="preserve">Aquamaq - alquiler bidón agua</t>
  </si>
  <si>
    <t xml:space="preserve">Seguros</t>
  </si>
  <si>
    <t xml:space="preserve">Seguro auto Jay</t>
  </si>
  <si>
    <t xml:space="preserve">Suscripciones</t>
  </si>
  <si>
    <t xml:space="preserve">Taxit (app ingresos/egresos fisco)</t>
  </si>
  <si>
    <t xml:space="preserve">Tarjeta de crédito (personal)</t>
  </si>
  <si>
    <t xml:space="preserve">2026-07</t>
  </si>
  <si>
    <t xml:space="preserve">Tigo - línea Guada</t>
  </si>
  <si>
    <t xml:space="preserve">Netflix</t>
  </si>
  <si>
    <t xml:space="preserve">Claude</t>
  </si>
  <si>
    <t xml:space="preserve">2026-01</t>
  </si>
  <si>
    <t xml:space="preserve">No especificado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</si>
  <si>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</si>
  <si>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</si>
  <si>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</si>
  <si>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</si>
  <si>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</si>
  <si>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2026-09</t>
  </si>
  <si>
    <t xml:space="preserve">2026-10</t>
  </si>
  <si>
    <t xml:space="preserve">2026-11</t>
  </si>
  <si>
    <t xml:space="preserve">2026-12</t>
  </si>
  <si>
    <t xml:space="preserve">Compras adicionales</t>
  </si>
  <si>
    <t xml:space="preserve">PC - cuota 2/12</t>
  </si>
  <si>
    <t xml:space="preserve">PC - cuota 3/12</t>
  </si>
  <si>
    <t xml:space="preserve">PC - cuota 4/12</t>
  </si>
  <si>
    <t xml:space="preserve">Tarjeta de crédito (débito automático)</t>
  </si>
  <si>
    <t xml:space="preserve">PC - cuota 5/12</t>
  </si>
  <si>
    <t xml:space="preserve">2026-08-29</t>
  </si>
  <si>
    <t xml:space="preserve">PC - cuota 6/12</t>
  </si>
  <si>
    <t xml:space="preserve">PC - cuota 7/12</t>
  </si>
  <si>
    <t xml:space="preserve">PC - cuota 8/12</t>
  </si>
  <si>
    <t xml:space="preserve">PC - cuota 9/12</t>
  </si>
  <si>
    <t xml:space="preserve">PC - cuota 10/12</t>
  </si>
  <si>
    <t xml:space="preserve">2027-01</t>
  </si>
  <si>
    <t xml:space="preserve">PC - cuota 11/12</t>
  </si>
  <si>
    <t xml:space="preserve">2027-02</t>
  </si>
  <si>
    <t xml:space="preserve">PC - cuota 12/12</t>
  </si>
  <si>
    <t xml:space="preserve">Migone - seguro médico Guada</t>
  </si>
  <si>
    <t xml:space="preserve">Seguro auto Guada</t>
  </si>
  <si>
    <t xml:space="preserve">Tarjeta de crédito (Guada)</t>
  </si>
  <si>
    <t xml:space="preserve">Día a día</t>
  </si>
  <si>
    <t xml:space="preserve">Delivery</t>
  </si>
  <si>
    <t xml:space="preserve">2026-08-01</t>
  </si>
  <si>
    <t xml:space="preserve">Delivery - Pedidos Ya</t>
  </si>
  <si>
    <t xml:space="preserve">Comida afuera</t>
  </si>
  <si>
    <t xml:space="preserve">2026-08-02</t>
  </si>
  <si>
    <t xml:space="preserve">Comida afuera - Tatakua</t>
  </si>
  <si>
    <t xml:space="preserve">Donaciones</t>
  </si>
  <si>
    <t xml:space="preserve">Donación iglesia (misa)</t>
  </si>
  <si>
    <t xml:space="preserve">Ocio</t>
  </si>
  <si>
    <t xml:space="preserve">2026-08-03</t>
  </si>
  <si>
    <t xml:space="preserve">Fútbol</t>
  </si>
  <si>
    <t xml:space="preserve">Limpieza</t>
  </si>
  <si>
    <t xml:space="preserve">2026-08-04</t>
  </si>
  <si>
    <t xml:space="preserve">Supermercado</t>
  </si>
  <si>
    <t xml:space="preserve">Supermercado - Stock</t>
  </si>
  <si>
    <t xml:space="preserve">Comida en oficina</t>
  </si>
  <si>
    <t xml:space="preserve">Transporte</t>
  </si>
  <si>
    <t xml:space="preserve">Estacionamiento oficina</t>
  </si>
  <si>
    <t xml:space="preserve">2026-08-05</t>
  </si>
  <si>
    <t xml:space="preserve">Pádel (salida)</t>
  </si>
  <si>
    <t xml:space="preserve">Comida - salida pádel</t>
  </si>
  <si>
    <t xml:space="preserve">Almuerzo oficina</t>
  </si>
  <si>
    <t xml:space="preserve">Desayuno afuera (invité)</t>
  </si>
  <si>
    <t xml:space="preserve">Cuidado personal</t>
  </si>
  <si>
    <t xml:space="preserve">2026-08-06</t>
  </si>
  <si>
    <t xml:space="preserve">Manicura</t>
  </si>
  <si>
    <t xml:space="preserve">Uber</t>
  </si>
  <si>
    <t xml:space="preserve">Tarjeta de crédito (Ueno)</t>
  </si>
  <si>
    <t xml:space="preserve">Nafta</t>
  </si>
  <si>
    <t xml:space="preserve">Libros</t>
  </si>
  <si>
    <t xml:space="preserve">Libro</t>
  </si>
  <si>
    <t xml:space="preserve">Débito Itaú</t>
  </si>
  <si>
    <t xml:space="preserve">Donación iglesia</t>
  </si>
  <si>
    <t xml:space="preserve">Regalos</t>
  </si>
  <si>
    <t xml:space="preserve">Regalo Rufi</t>
  </si>
  <si>
    <t xml:space="preserve">2026-08-10</t>
  </si>
  <si>
    <t xml:space="preserve">Cumpleaños</t>
  </si>
  <si>
    <t xml:space="preserve">Cumple Rufina</t>
  </si>
  <si>
    <t xml:space="preserve">2026-08-12</t>
  </si>
  <si>
    <t xml:space="preserve">Ropa</t>
  </si>
  <si>
    <t xml:space="preserve">Compra de ropa</t>
  </si>
  <si>
    <t xml:space="preserve">Limpieza (incl. adelanto 50.000)</t>
  </si>
  <si>
    <t xml:space="preserve">Sorpresita regalo Rufi (festejo cumple)</t>
  </si>
  <si>
    <t xml:space="preserve">IPS</t>
  </si>
  <si>
    <t xml:space="preserve">IPS - aporte empleada doméstica (limpieza)</t>
  </si>
  <si>
    <t xml:space="preserve">Mantenimiento auto - cuota 2/2</t>
  </si>
  <si>
    <t xml:space="preserve">Comida afuera en oficina</t>
  </si>
  <si>
    <t xml:space="preserve">2026-08-13</t>
  </si>
  <si>
    <t xml:space="preserve">Reintegro Decathlon (regalo Rufi)</t>
  </si>
  <si>
    <t xml:space="preserve">Reintegro supermercado</t>
  </si>
  <si>
    <t xml:space="preserve">2026-08-14</t>
  </si>
  <si>
    <t xml:space="preserve">Desayuno oficina</t>
  </si>
  <si>
    <t xml:space="preserve">2026-08-17</t>
  </si>
  <si>
    <t xml:space="preserve">Pádel</t>
  </si>
  <si>
    <t xml:space="preserve">Asado (salida)</t>
  </si>
  <si>
    <t xml:space="preserve">2026-08-18</t>
  </si>
  <si>
    <t xml:space="preserve">Airtable</t>
  </si>
  <si>
    <t xml:space="preserve">Arreglo lavarropas - cuota 1/2</t>
  </si>
  <si>
    <t xml:space="preserve">Arreglo lavarropas - cuota 2/2</t>
  </si>
  <si>
    <t xml:space="preserve">2026-07-06</t>
  </si>
  <si>
    <t xml:space="preserve">Disney+</t>
  </si>
  <si>
    <t xml:space="preserve">2026-08-19</t>
  </si>
  <si>
    <t xml:space="preserve">Pollera Rufi (evento colegio)</t>
  </si>
  <si>
    <t xml:space="preserve">2026-08-20</t>
  </si>
  <si>
    <t xml:space="preserve">GTM Paraguay (gestión web marca)</t>
  </si>
  <si>
    <t xml:space="preserve">Transferencia (personal)</t>
  </si>
  <si>
    <t xml:space="preserve">2026-08-21</t>
  </si>
  <si>
    <t xml:space="preserve">2026-08-22</t>
  </si>
  <si>
    <t xml:space="preserve">2026-03-31</t>
  </si>
  <si>
    <t xml:space="preserve">PC - cuota 1/12</t>
  </si>
  <si>
    <t xml:space="preserve">2026-04-15</t>
  </si>
  <si>
    <t xml:space="preserve">Descuento PC (Tienda Naranja)</t>
  </si>
  <si>
    <t xml:space="preserve">Mantenimiento auto - cuota 1/2</t>
  </si>
  <si>
    <t xml:space="preserve">2026-06-08</t>
  </si>
  <si>
    <t xml:space="preserve">2026-06-26</t>
  </si>
  <si>
    <t xml:space="preserve">Seguro auto Jay (cargo adicional)</t>
  </si>
  <si>
    <t xml:space="preserve">2026-07-20</t>
  </si>
  <si>
    <t xml:space="preserve">Airtable (vía TC Itaú)</t>
  </si>
  <si>
    <t xml:space="preserve">2026-02-25</t>
  </si>
  <si>
    <t xml:space="preserve">Plaza Oferta</t>
  </si>
  <si>
    <t xml:space="preserve">Daylic</t>
  </si>
  <si>
    <t xml:space="preserve">2026-02-26</t>
  </si>
  <si>
    <t xml:space="preserve">Supermercado - Biggie</t>
  </si>
  <si>
    <t xml:space="preserve">Monte Líbano</t>
  </si>
  <si>
    <t xml:space="preserve">2026-02-27</t>
  </si>
  <si>
    <t xml:space="preserve">2026-03-18</t>
  </si>
  <si>
    <t xml:space="preserve">Seguro cancelación de deuda (tarjeta Itaú)</t>
  </si>
  <si>
    <t xml:space="preserve">2026-06-17</t>
  </si>
  <si>
    <t xml:space="preserve">2026-07-01</t>
  </si>
  <si>
    <t xml:space="preserve">Casa Rica</t>
  </si>
  <si>
    <t xml:space="preserve">2026-07-09</t>
  </si>
  <si>
    <t xml:space="preserve">El Café de Acá</t>
  </si>
  <si>
    <t xml:space="preserve">2026-07-13</t>
  </si>
  <si>
    <t xml:space="preserve">2026-07-15</t>
  </si>
  <si>
    <t xml:space="preserve">Viajes</t>
  </si>
  <si>
    <t xml:space="preserve">Pearson (curso online Guada, gasto del viaje)</t>
  </si>
  <si>
    <t xml:space="preserve">2026-06-23</t>
  </si>
  <si>
    <t xml:space="preserve">CheapOair (reserva vuelo)</t>
  </si>
  <si>
    <t xml:space="preserve">Hotel DLR</t>
  </si>
  <si>
    <t xml:space="preserve">Pasaje LAN Airlines</t>
  </si>
  <si>
    <t xml:space="preserve">Otras compras</t>
  </si>
  <si>
    <t xml:space="preserve">2026-06-16</t>
  </si>
  <si>
    <t xml:space="preserve">Nissei Online</t>
  </si>
  <si>
    <t xml:space="preserve">Plaza Hogar</t>
  </si>
  <si>
    <t xml:space="preserve">2026-07-02</t>
  </si>
  <si>
    <t xml:space="preserve">Estoy Perseverancia</t>
  </si>
  <si>
    <t xml:space="preserve">2026-07-08</t>
  </si>
  <si>
    <t xml:space="preserve">Farmacia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</si>
  <si>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</si>
  <si>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</si>
  <si>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</si>
  <si>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</si>
  <si>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2026-01-06</t>
  </si>
  <si>
    <t xml:space="preserve">Apostol</t>
  </si>
  <si>
    <t xml:space="preserve">2026-05-25</t>
  </si>
  <si>
    <t xml:space="preserve">Claude.ai (suscripción)</t>
  </si>
  <si>
    <t xml:space="preserve">2026-05-29</t>
  </si>
  <si>
    <t xml:space="preserve">Anthropic (consola/API)</t>
  </si>
  <si>
    <t xml:space="preserve">2026-05-27</t>
  </si>
  <si>
    <t xml:space="preserve">2026-05-28</t>
  </si>
  <si>
    <t xml:space="preserve">Setik Technology</t>
  </si>
  <si>
    <t xml:space="preserve">2026-06-02</t>
  </si>
  <si>
    <t xml:space="preserve">El Cafetero</t>
  </si>
  <si>
    <t xml:space="preserve">2026-06-15</t>
  </si>
  <si>
    <t xml:space="preserve">Global Box</t>
  </si>
  <si>
    <t xml:space="preserve">Supermercado - Stock Express</t>
  </si>
  <si>
    <t xml:space="preserve">Reintegro Global Box</t>
  </si>
  <si>
    <t xml:space="preserve">2026-04-20</t>
  </si>
  <si>
    <t xml:space="preserve">Amazon</t>
  </si>
  <si>
    <t xml:space="preserve">2026-04-24</t>
  </si>
  <si>
    <t xml:space="preserve">Heladería Paris</t>
  </si>
  <si>
    <t xml:space="preserve">2026-04-27</t>
  </si>
  <si>
    <t xml:space="preserve">Arete Sausalito</t>
  </si>
  <si>
    <t xml:space="preserve">La Cocina de Kzero</t>
  </si>
  <si>
    <t xml:space="preserve">2026-04-29</t>
  </si>
  <si>
    <t xml:space="preserve">2026-05-06</t>
  </si>
  <si>
    <t xml:space="preserve">Swarovski</t>
  </si>
  <si>
    <t xml:space="preserve">2026-05-18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</si>
  <si>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</si>
  <si>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</si>
  <si>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</si>
  <si>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</si>
  <si>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Automotor (servicio/combustible)</t>
  </si>
  <si>
    <t xml:space="preserve">Festa</t>
  </si>
  <si>
    <t xml:space="preserve">Kaiten</t>
  </si>
  <si>
    <t xml:space="preserve">2026-01-26</t>
  </si>
  <si>
    <t xml:space="preserve">2026-01-28</t>
  </si>
  <si>
    <t xml:space="preserve">2026-02-02</t>
  </si>
  <si>
    <t xml:space="preserve">GAP</t>
  </si>
  <si>
    <t xml:space="preserve">De la Tolva</t>
  </si>
  <si>
    <t xml:space="preserve">2026-02-13</t>
  </si>
  <si>
    <t xml:space="preserve">2026-03-25</t>
  </si>
  <si>
    <t xml:space="preserve">Propina delivery</t>
  </si>
  <si>
    <t xml:space="preserve">2026-03-26</t>
  </si>
  <si>
    <t xml:space="preserve">2026-03-27</t>
  </si>
  <si>
    <t xml:space="preserve">2026-03-30</t>
  </si>
  <si>
    <t xml:space="preserve">2026-04-01</t>
  </si>
  <si>
    <t xml:space="preserve">Juan Valdez</t>
  </si>
  <si>
    <t xml:space="preserve">2026-04-13</t>
  </si>
  <si>
    <t xml:space="preserve">2026-04-17</t>
  </si>
  <si>
    <t xml:space="preserve">2026-08-07</t>
  </si>
  <si>
    <t xml:space="preserve">2026-07-22</t>
  </si>
  <si>
    <t xml:space="preserve">2026-07-27</t>
  </si>
  <si>
    <t xml:space="preserve">Supermercado - Mundi Mark</t>
  </si>
  <si>
    <t xml:space="preserve">Reintegro Juan Valdez</t>
  </si>
  <si>
    <t xml:space="preserve">Marshalls</t>
  </si>
  <si>
    <t xml:space="preserve">Nueva Americana</t>
  </si>
  <si>
    <t xml:space="preserve">Copipunto</t>
  </si>
  <si>
    <t xml:space="preserve">Veterinaria</t>
  </si>
  <si>
    <t xml:space="preserve">2026-08-11</t>
  </si>
  <si>
    <t xml:space="preserve">Springfield</t>
  </si>
  <si>
    <t xml:space="preserve">2025-12-30</t>
  </si>
  <si>
    <t xml:space="preserve">Seguro auto Jay (cargo de diciembre 2025, incluido en el extracto de enero)</t>
  </si>
  <si>
    <t xml:space="preserve">IVA s/cargos y comisiones (tarjeta Ueno)</t>
  </si>
  <si>
    <t xml:space="preserve">Viaje Argentina 2025 - cuota final (8/10)</t>
  </si>
  <si>
    <t xml:space="preserve">Casa Rica-Molas Lope</t>
  </si>
  <si>
    <t xml:space="preserve">2026-01-02</t>
  </si>
  <si>
    <t xml:space="preserve">Delivery - Monchis</t>
  </si>
  <si>
    <t xml:space="preserve">Wepa - pago de servicios (sin detalle)</t>
  </si>
  <si>
    <t xml:space="preserve">Sup.Mundi Mark</t>
  </si>
  <si>
    <t xml:space="preserve">2026-01-18</t>
  </si>
  <si>
    <t xml:space="preserve">Seguro cancelación de deuda (tarjeta Ueno)</t>
  </si>
  <si>
    <t xml:space="preserve">Mantenimiento tarjeta Ueno</t>
  </si>
  <si>
    <t xml:space="preserve">Viaje Argentina 2025 - cuota final (9/10)</t>
  </si>
  <si>
    <t xml:space="preserve">2026-01-24</t>
  </si>
  <si>
    <t xml:space="preserve">Petrobras Insignia</t>
  </si>
  <si>
    <t xml:space="preserve">2026-01-27</t>
  </si>
  <si>
    <t xml:space="preserve">Biggie-Herrera</t>
  </si>
  <si>
    <t xml:space="preserve">2026-01-29</t>
  </si>
  <si>
    <t xml:space="preserve">Biggie Lillio Brizue</t>
  </si>
  <si>
    <t xml:space="preserve">2026-01-30</t>
  </si>
  <si>
    <t xml:space="preserve">2026-02-01</t>
  </si>
  <si>
    <t xml:space="preserve">2026-02-03</t>
  </si>
  <si>
    <t xml:space="preserve">2026-02-05</t>
  </si>
  <si>
    <t xml:space="preserve">2026-02-07</t>
  </si>
  <si>
    <t xml:space="preserve">2026-02-10</t>
  </si>
  <si>
    <t xml:space="preserve">Arandu Import (electro/importados)</t>
  </si>
  <si>
    <t xml:space="preserve">2026-02-15</t>
  </si>
  <si>
    <t xml:space="preserve">2026-02-14</t>
  </si>
  <si>
    <t xml:space="preserve">Viaje Argentina 2025 - cuota final (10/10)</t>
  </si>
  <si>
    <t xml:space="preserve">2026-02-19</t>
  </si>
  <si>
    <t xml:space="preserve">2026-02-20</t>
  </si>
  <si>
    <t xml:space="preserve">Shell Select Ciclovi</t>
  </si>
  <si>
    <t xml:space="preserve">2026-02-21</t>
  </si>
  <si>
    <t xml:space="preserve">Disney on Ice - cuota 01/03</t>
  </si>
  <si>
    <t xml:space="preserve">2026-02-24</t>
  </si>
  <si>
    <t xml:space="preserve">Biggie-Sgto.Gauto</t>
  </si>
  <si>
    <t xml:space="preserve">Biggie-Dominicana</t>
  </si>
  <si>
    <t xml:space="preserve">2026-03-04</t>
  </si>
  <si>
    <t xml:space="preserve">Tio Lucas Pizzas</t>
  </si>
  <si>
    <t xml:space="preserve">La Cocina De Kzero</t>
  </si>
  <si>
    <t xml:space="preserve">Enex Gabana - Artiga</t>
  </si>
  <si>
    <t xml:space="preserve">2026-03-05</t>
  </si>
  <si>
    <t xml:space="preserve">2026-03-06</t>
  </si>
  <si>
    <t xml:space="preserve">Farmacenter (farmacia)</t>
  </si>
  <si>
    <t xml:space="preserve">2026-03-07</t>
  </si>
  <si>
    <t xml:space="preserve">2026-03-10</t>
  </si>
  <si>
    <t xml:space="preserve">Rest.Shangri-La-Plg</t>
  </si>
  <si>
    <t xml:space="preserve">2026-03-09</t>
  </si>
  <si>
    <t xml:space="preserve">New Balance - cuota 01/02</t>
  </si>
  <si>
    <t xml:space="preserve">2026-03-15</t>
  </si>
  <si>
    <t xml:space="preserve">2026-03-14</t>
  </si>
  <si>
    <t xml:space="preserve">Invictus (gimnasio/suplementos)</t>
  </si>
  <si>
    <t xml:space="preserve">2026-03-17</t>
  </si>
  <si>
    <t xml:space="preserve">2026-03-16</t>
  </si>
  <si>
    <t xml:space="preserve">Libro (Kindle)</t>
  </si>
  <si>
    <t xml:space="preserve">2026-03-24</t>
  </si>
  <si>
    <t xml:space="preserve">Mc Donalds-Autopista</t>
  </si>
  <si>
    <t xml:space="preserve">Stock Express-Brasil</t>
  </si>
  <si>
    <t xml:space="preserve">2026-04-21</t>
  </si>
  <si>
    <t xml:space="preserve">Disney on Ice - cuota 02/03</t>
  </si>
  <si>
    <t xml:space="preserve">2026-04-09</t>
  </si>
  <si>
    <t xml:space="preserve">New Balance - cuota 02/02</t>
  </si>
  <si>
    <t xml:space="preserve">2026-03-28</t>
  </si>
  <si>
    <t xml:space="preserve">Kindle (reintegro)</t>
  </si>
  <si>
    <t xml:space="preserve">Petrobras Centenario</t>
  </si>
  <si>
    <t xml:space="preserve">2026-03-29</t>
  </si>
  <si>
    <t xml:space="preserve">2026-04-02</t>
  </si>
  <si>
    <t xml:space="preserve">2026-04-07</t>
  </si>
  <si>
    <t xml:space="preserve">Biggie-Trinidad Jade</t>
  </si>
  <si>
    <t xml:space="preserve">Casa Rica Perseveran</t>
  </si>
  <si>
    <t xml:space="preserve">2026-04-11</t>
  </si>
  <si>
    <t xml:space="preserve">Ticketea Box Office</t>
  </si>
  <si>
    <t xml:space="preserve">Ticketea Mj</t>
  </si>
  <si>
    <t xml:space="preserve">2026-04-14</t>
  </si>
  <si>
    <t xml:space="preserve">Feria Asunción</t>
  </si>
  <si>
    <t xml:space="preserve">Agencia Uela (viaje familiar) - cuota 01/02</t>
  </si>
  <si>
    <t xml:space="preserve">2026-04-19</t>
  </si>
  <si>
    <t xml:space="preserve">2026-05-21</t>
  </si>
  <si>
    <t xml:space="preserve">Disney on Ice - cuota 03/03</t>
  </si>
  <si>
    <t xml:space="preserve">2026-05-17</t>
  </si>
  <si>
    <t xml:space="preserve">Agencia Uela (viaje familiar) - cuota 02/02</t>
  </si>
  <si>
    <t xml:space="preserve">2026-04-30</t>
  </si>
  <si>
    <t xml:space="preserve">2026-05-01</t>
  </si>
  <si>
    <t xml:space="preserve">2026-05-04</t>
  </si>
  <si>
    <t xml:space="preserve">2026-05-05</t>
  </si>
  <si>
    <t xml:space="preserve">Dr. Vic (consulta médica)</t>
  </si>
  <si>
    <t xml:space="preserve">Delimarket</t>
  </si>
  <si>
    <t xml:space="preserve">2026-05-08</t>
  </si>
  <si>
    <t xml:space="preserve">Frontliner</t>
  </si>
  <si>
    <t xml:space="preserve">2026-05-12</t>
  </si>
  <si>
    <t xml:space="preserve">Mimo &amp; Co (viaje Argentina)</t>
  </si>
  <si>
    <t xml:space="preserve">Rapa Nui Nordelta (viaje Argentina)</t>
  </si>
  <si>
    <t xml:space="preserve">2026-05-19</t>
  </si>
  <si>
    <t xml:space="preserve">2026-05-20</t>
  </si>
  <si>
    <t xml:space="preserve">2026-05-22</t>
  </si>
  <si>
    <t xml:space="preserve">2026-05-23</t>
  </si>
  <si>
    <t xml:space="preserve">Asistencia al viajero (DLocal Assist Card)</t>
  </si>
  <si>
    <t xml:space="preserve">Salón Brasilia</t>
  </si>
  <si>
    <t xml:space="preserve">2026-05-26</t>
  </si>
  <si>
    <t xml:space="preserve">Stock Express Brasili</t>
  </si>
  <si>
    <t xml:space="preserve">2026-06-04</t>
  </si>
  <si>
    <t xml:space="preserve">2026-06-05</t>
  </si>
  <si>
    <t xml:space="preserve">S6 España (sin identificar)</t>
  </si>
  <si>
    <t xml:space="preserve">2026-06-06</t>
  </si>
  <si>
    <t xml:space="preserve">2026-06-12</t>
  </si>
  <si>
    <t xml:space="preserve">2026-06-13</t>
  </si>
  <si>
    <t xml:space="preserve">Lacteos Sona Angela-</t>
  </si>
  <si>
    <t xml:space="preserve">2026-06-19</t>
  </si>
  <si>
    <t xml:space="preserve">Leben- Viandas</t>
  </si>
  <si>
    <t xml:space="preserve">Petrobras-Washington</t>
  </si>
  <si>
    <t xml:space="preserve">Grano De Cafe Eas</t>
  </si>
  <si>
    <t xml:space="preserve">2026-06-30</t>
  </si>
  <si>
    <t xml:space="preserve">Peaje Ecovía</t>
  </si>
  <si>
    <t xml:space="preserve">Biggie-Sanber-Aqua</t>
  </si>
  <si>
    <t xml:space="preserve">2026-07-12</t>
  </si>
  <si>
    <t xml:space="preserve">2026-07-16</t>
  </si>
  <si>
    <t xml:space="preserve">2026-07-19</t>
  </si>
  <si>
    <t xml:space="preserve">2026-07-21</t>
  </si>
  <si>
    <t xml:space="preserve">Petrobras Molas Lope</t>
  </si>
  <si>
    <t xml:space="preserve">Almuerzo (plato ₲350.000 + propina ₲35.000)</t>
  </si>
  <si>
    <t xml:space="preserve">Reintegro supermercado (20%)</t>
  </si>
  <si>
    <t xml:space="preserve">Utensilios de cocina</t>
  </si>
  <si>
    <t xml:space="preserve">2026-08-24</t>
  </si>
  <si>
    <t xml:space="preserve">Comida oficina</t>
  </si>
  <si>
    <t xml:space="preserve">2026-08-25</t>
  </si>
  <si>
    <t xml:space="preserve">Bebida fútbol (Powerade + Coca Zero)</t>
  </si>
  <si>
    <t xml:space="preserve">Psicóloga</t>
  </si>
  <si>
    <t xml:space="preserve">2026-08-27</t>
  </si>
  <si>
    <t xml:space="preserve">Reintegro nafta</t>
  </si>
  <si>
    <t xml:space="preserve">Remeras (2)</t>
  </si>
  <si>
    <t xml:space="preserve">Libro (Amazon)</t>
  </si>
  <si>
    <t xml:space="preserve">2026-08-28</t>
  </si>
  <si>
    <t xml:space="preserve">Max Dominios - invertrust.com.py (6 meses)</t>
  </si>
  <si>
    <t xml:space="preserve">2026-08-31</t>
  </si>
  <si>
    <t xml:space="preserve">Donación</t>
  </si>
  <si>
    <t xml:space="preserve">Salida afuera</t>
  </si>
  <si>
    <t xml:space="preserve">Asado</t>
  </si>
  <si>
    <t xml:space="preserve">2026-09-02</t>
  </si>
  <si>
    <t xml:space="preserve">Oficina</t>
  </si>
  <si>
    <t xml:space="preserve">TOTAL</t>
  </si>
  <si>
    <t xml:space="preserve">Supuestos y pendientes</t>
  </si>
  <si>
    <t xml:space="preserve">Supuestos aplicados al completar el año 2026:</t>
  </si>
  <si>
    <t xml:space="preserve">- Oami, Personal (celular Jay), Tigo (celular Guada), Internet, Seguro auto Jay y Taxit: mismo monto asumido en los 12 meses de 2026.</t>
  </si>
  <si>
    <t xml:space="preserve">- Cuota colegio Rufina: 10 cuotas de ₲2.345.000, de febrero a noviembre 2026.</t>
  </si>
  <si>
    <t xml:space="preserve">- Aquamaq: enero 2026 ₲50.000 (promo), de febrero a diciembre 2026 ₲250.000.</t>
  </si>
  <si>
    <t xml:space="preserve">- Bek (colonia Rufi): promedio de ₲1.040.000, de marzo a diciembre 2026.</t>
  </si>
  <si>
    <t xml:space="preserve">- PC (compra en cuotas, TC): 12 cuotas de ₲505.932, cuota 1 = abril 2026, cuota 12 = marzo 2027 (categoría 'Compras adicionales').</t>
  </si>
  <si>
    <t xml:space="preserve">Pendiente de confirmar / cargar (montos varían mes a mes, no se completaron con supuesto):</t>
  </si>
  <si>
    <t xml:space="preserve">- ANDE (electricidad): solo hay datos reales para julio y agosto 2026. Faltan enero-junio y septiembre-diciembre 2026.</t>
  </si>
  <si>
    <t xml:space="preserve">- Netflix: solo hay datos reales para julio y agosto 2026. Faltan el resto de los meses.</t>
  </si>
  <si>
    <t xml:space="preserve">- Claude: solo hay datos reales para julio y agosto 2026. Faltan el resto de los meses.</t>
  </si>
  <si>
    <t xml:space="preserve">- Migone (seguro médico Guada): ₲697.200 asumido en los 12 meses de 2026.</t>
  </si>
  <si>
    <t xml:space="preserve">- Seguro auto Guada: ₲330.000 asumido en los 12 meses de 2026.</t>
  </si>
  <si>
    <t xml:space="preserve">Actualización (según últimos datos de Joaquín):</t>
  </si>
  <si>
    <t xml:space="preserve">- ANDE: datos reales cargados para febrero-agosto 2026. Enero y septiembre-diciembre 2026 siguen pendientes.</t>
  </si>
  <si>
    <t xml:space="preserve">- Claude: dato real jul/ago. Junio 2026 estimado (similar a julio) — posible inicio de la suscripción Pro por ahí. Enero-mayo 2026 no se cargó (asumido que no existía el gasto). Septiembre-diciembre 2026 pendiente.</t>
  </si>
  <si>
    <t xml:space="preserve">- Netflix: se aplicó un promedio de ₲53.745 (base jul-ago 2026) a los meses sin dato real (ene-jun y sep-dic 2026). Jul/ago quedan con su monto real.</t>
  </si>
  <si>
    <t xml:space="preserve">- Disney+: mencionado como gasto a incluir, pero aún sin monto. Pendiente de cargar cuando Joaquín pase el costo.</t>
  </si>
  <si>
    <t xml:space="preserve">Actualización (métodos de pago y variables diarios):</t>
  </si>
  <si>
    <t xml:space="preserve">- Método de pago: a partir de junio 2026, todos los gastos se pagan con Tarjeta de crédito (para sumar puntos), salvo Bek (colonia Rufi) que siempre es por transferencia. Meses anteriores a junio quedan como 'No especificado' por falta de dato retroactivo.</t>
  </si>
  <si>
    <t xml:space="preserve">- Enero 2026: es verano en Paraguay y probablemente hay visitas en casa → se espera que ANDE (electricidad) sea más alto que el promedio del resto del año por uso de aire acondicionado. No se estimó un monto (evitar promedio simple que subestimaría); queda pendiente el dato real.</t>
  </si>
  <si>
    <t xml:space="preserve">- Nueva categoría en construcción: 'Consumo diario' (gastos variables) — supermercado, comida afuera, delivery, nafta, etc. Aún sin montos cargados; pendiente de que Joaquín pase los datos mes a mes.</t>
  </si>
  <si>
    <t xml:space="preserve">Actualización (estructura Día a día):</t>
  </si>
  <si>
    <t xml:space="preserve">- Nueva categoría 'Día a día' agrupa los gastos variables cotidianos, con columna Subcategoría: Supermercado, Delivery, Comida afuera, Nafta, Ocio, Donaciones (y 'Otros' para lo que no encaje). Se puede seguir sumando subcategorías.</t>
  </si>
  <si>
    <t xml:space="preserve">- Donaciones (ej. iglesia) quedó como subcategoría dentro de 'Día a día', no como categoría aparte.</t>
  </si>
  <si>
    <t xml:space="preserve">RESUMEN DE GASTOS 2026</t>
  </si>
  <si>
    <t xml:space="preserve">2027-03</t>
  </si>
  <si>
    <t xml:space="preserve">Total 2026 (ene-dic)</t>
  </si>
  <si>
    <t xml:space="preserve">Total Fijo (Gs.)</t>
  </si>
  <si>
    <t xml:space="preserve">Total Variable (Gs.)</t>
  </si>
  <si>
    <t xml:space="preserve">Total General (Gs.)</t>
  </si>
  <si>
    <t xml:space="preserve">Por categoría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</si>
</sst>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597"/>
        <bgColor rgb="FF4472C4"/>
      </patternFill>
    </fill>
    <fill>
      <patternFill patternType="solid">
        <fgColor rgb="FF4472C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7" min="6" style="1" width="14"/>
    <col collapsed="false" customWidth="true" hidden="false" outlineLevel="0" max="8" min="8" style="1" width="26"/>
    <col collapsed="false" customWidth="true" hidden="false" outlineLevel="0" max="9" min="9" style="1" width="3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1" t="s">
        <v>9</v>
      </c>
      <c r="B2" s="1" t="s">
        <v>10</v>
      </c>
      <c r="E2" s="1" t="s">
        <v>11</v>
      </c>
      <c r="F2" s="1" t="s">
        <v>12</v>
      </c>
      <c r="G2" s="1" t="n">
        <v>240720</v>
      </c>
      <c r="H2" s="1" t="s">
        <v>13</v>
      </c>
    </row>
    <row r="3" customFormat="false" ht="15" hidden="false" customHeight="true" outlineLevel="0" collapsed="false">
      <c r="A3" s="1" t="s">
        <v>9</v>
      </c>
      <c r="B3" s="1" t="s">
        <v>10</v>
      </c>
      <c r="E3" s="1" t="s">
        <v>14</v>
      </c>
      <c r="F3" s="1" t="s">
        <v>12</v>
      </c>
      <c r="G3" s="1" t="n">
        <v>4720</v>
      </c>
      <c r="H3" s="1" t="s">
        <v>15</v>
      </c>
    </row>
    <row r="4" customFormat="false" ht="15" hidden="false" customHeight="true" outlineLevel="0" collapsed="false">
      <c r="A4" s="1" t="s">
        <v>9</v>
      </c>
      <c r="B4" s="1" t="s">
        <v>16</v>
      </c>
      <c r="E4" s="1" t="s">
        <v>17</v>
      </c>
      <c r="F4" s="1" t="s">
        <v>18</v>
      </c>
      <c r="G4" s="1" t="n">
        <v>130000</v>
      </c>
      <c r="H4" s="1" t="s">
        <v>13</v>
      </c>
    </row>
    <row r="5" customFormat="false" ht="15" hidden="false" customHeight="true" outlineLevel="0" collapsed="false">
      <c r="A5" s="1" t="s">
        <v>9</v>
      </c>
      <c r="B5" s="1" t="s">
        <v>19</v>
      </c>
      <c r="E5" s="1" t="s">
        <v>20</v>
      </c>
      <c r="F5" s="1" t="s">
        <v>18</v>
      </c>
      <c r="G5" s="1" t="n">
        <v>2345000</v>
      </c>
      <c r="H5" s="1" t="s">
        <v>13</v>
      </c>
    </row>
    <row r="6" customFormat="false" ht="15" hidden="false" customHeight="true" outlineLevel="0" collapsed="false">
      <c r="A6" s="1" t="s">
        <v>9</v>
      </c>
      <c r="B6" s="1" t="s">
        <v>21</v>
      </c>
      <c r="E6" s="1" t="s">
        <v>22</v>
      </c>
      <c r="F6" s="1" t="s">
        <v>18</v>
      </c>
      <c r="G6" s="1" t="n">
        <v>559000</v>
      </c>
      <c r="H6" s="1" t="s">
        <v>13</v>
      </c>
    </row>
    <row r="7" customFormat="false" ht="15" hidden="false" customHeight="true" outlineLevel="0" collapsed="false">
      <c r="A7" s="1" t="s">
        <v>9</v>
      </c>
      <c r="B7" s="1" t="s">
        <v>10</v>
      </c>
      <c r="E7" s="1" t="s">
        <v>23</v>
      </c>
      <c r="F7" s="1" t="s">
        <v>18</v>
      </c>
      <c r="G7" s="1" t="n">
        <v>160000</v>
      </c>
      <c r="H7" s="1" t="s">
        <v>13</v>
      </c>
    </row>
    <row r="8" customFormat="false" ht="15" hidden="false" customHeight="true" outlineLevel="0" collapsed="false">
      <c r="A8" s="1" t="s">
        <v>9</v>
      </c>
      <c r="B8" s="1" t="s">
        <v>19</v>
      </c>
      <c r="E8" s="1" t="s">
        <v>24</v>
      </c>
      <c r="F8" s="1" t="s">
        <v>12</v>
      </c>
      <c r="G8" s="1" t="n">
        <v>1040000</v>
      </c>
      <c r="H8" s="1" t="s">
        <v>25</v>
      </c>
    </row>
    <row r="9" customFormat="false" ht="15" hidden="false" customHeight="true" outlineLevel="0" collapsed="false">
      <c r="A9" s="1" t="s">
        <v>9</v>
      </c>
      <c r="B9" s="1" t="s">
        <v>10</v>
      </c>
      <c r="E9" s="1" t="s">
        <v>26</v>
      </c>
      <c r="F9" s="1" t="s">
        <v>18</v>
      </c>
      <c r="G9" s="1" t="n">
        <v>250000</v>
      </c>
      <c r="H9" s="1" t="s">
        <v>13</v>
      </c>
    </row>
    <row r="10" customFormat="false" ht="15" hidden="false" customHeight="true" outlineLevel="0" collapsed="false">
      <c r="A10" s="1" t="s">
        <v>9</v>
      </c>
      <c r="B10" s="1" t="s">
        <v>27</v>
      </c>
      <c r="E10" s="1" t="s">
        <v>28</v>
      </c>
      <c r="F10" s="1" t="s">
        <v>18</v>
      </c>
      <c r="G10" s="1" t="n">
        <v>356000</v>
      </c>
      <c r="H10" s="1" t="s">
        <v>13</v>
      </c>
    </row>
    <row r="11" customFormat="false" ht="15" hidden="false" customHeight="true" outlineLevel="0" collapsed="false">
      <c r="A11" s="1" t="s">
        <v>9</v>
      </c>
      <c r="B11" s="1" t="s">
        <v>29</v>
      </c>
      <c r="E11" s="1" t="s">
        <v>30</v>
      </c>
      <c r="F11" s="1" t="s">
        <v>18</v>
      </c>
      <c r="G11" s="1" t="n">
        <v>149000</v>
      </c>
      <c r="H11" s="1" t="s">
        <v>31</v>
      </c>
    </row>
    <row r="12" customFormat="false" ht="15" hidden="false" customHeight="true" outlineLevel="0" collapsed="false">
      <c r="A12" s="1" t="s">
        <v>32</v>
      </c>
      <c r="B12" s="1" t="s">
        <v>10</v>
      </c>
      <c r="E12" s="1" t="s">
        <v>11</v>
      </c>
      <c r="F12" s="1" t="s">
        <v>12</v>
      </c>
      <c r="G12" s="1" t="n">
        <v>197880</v>
      </c>
      <c r="H12" s="1" t="s">
        <v>13</v>
      </c>
    </row>
    <row r="13" customFormat="false" ht="15" hidden="false" customHeight="true" outlineLevel="0" collapsed="false">
      <c r="A13" s="1" t="s">
        <v>32</v>
      </c>
      <c r="B13" s="1" t="s">
        <v>16</v>
      </c>
      <c r="E13" s="1" t="s">
        <v>33</v>
      </c>
      <c r="F13" s="1" t="s">
        <v>18</v>
      </c>
      <c r="G13" s="1" t="n">
        <v>130000</v>
      </c>
      <c r="H13" s="1" t="s">
        <v>13</v>
      </c>
    </row>
    <row r="14" customFormat="false" ht="15" hidden="false" customHeight="true" outlineLevel="0" collapsed="false">
      <c r="A14" s="1" t="s">
        <v>32</v>
      </c>
      <c r="B14" s="1" t="s">
        <v>19</v>
      </c>
      <c r="E14" s="1" t="s">
        <v>20</v>
      </c>
      <c r="F14" s="1" t="s">
        <v>18</v>
      </c>
      <c r="G14" s="1" t="n">
        <v>2345000</v>
      </c>
      <c r="H14" s="1" t="s">
        <v>13</v>
      </c>
    </row>
    <row r="15" customFormat="false" ht="15" hidden="false" customHeight="true" outlineLevel="0" collapsed="false">
      <c r="A15" s="1" t="s">
        <v>32</v>
      </c>
      <c r="B15" s="1" t="s">
        <v>21</v>
      </c>
      <c r="E15" s="1" t="s">
        <v>22</v>
      </c>
      <c r="F15" s="1" t="s">
        <v>18</v>
      </c>
      <c r="G15" s="1" t="n">
        <v>559000</v>
      </c>
      <c r="H15" s="1" t="s">
        <v>13</v>
      </c>
    </row>
    <row r="16" customFormat="false" ht="15" hidden="false" customHeight="true" outlineLevel="0" collapsed="false">
      <c r="A16" s="1" t="s">
        <v>32</v>
      </c>
      <c r="B16" s="1" t="s">
        <v>10</v>
      </c>
      <c r="E16" s="1" t="s">
        <v>23</v>
      </c>
      <c r="F16" s="1" t="s">
        <v>18</v>
      </c>
      <c r="G16" s="1" t="n">
        <v>160000</v>
      </c>
      <c r="H16" s="1" t="s">
        <v>13</v>
      </c>
    </row>
    <row r="17" customFormat="false" ht="15" hidden="false" customHeight="true" outlineLevel="0" collapsed="false">
      <c r="A17" s="1" t="s">
        <v>32</v>
      </c>
      <c r="B17" s="1" t="s">
        <v>19</v>
      </c>
      <c r="E17" s="1" t="s">
        <v>24</v>
      </c>
      <c r="F17" s="1" t="s">
        <v>12</v>
      </c>
      <c r="G17" s="1" t="n">
        <v>1040000</v>
      </c>
      <c r="H17" s="1" t="s">
        <v>25</v>
      </c>
    </row>
    <row r="18" customFormat="false" ht="15" hidden="false" customHeight="true" outlineLevel="0" collapsed="false">
      <c r="A18" s="1" t="s">
        <v>32</v>
      </c>
      <c r="B18" s="1" t="s">
        <v>27</v>
      </c>
      <c r="E18" s="1" t="s">
        <v>28</v>
      </c>
      <c r="F18" s="1" t="s">
        <v>18</v>
      </c>
      <c r="G18" s="1" t="n">
        <v>356000</v>
      </c>
      <c r="H18" s="1" t="s">
        <v>13</v>
      </c>
    </row>
    <row r="19" customFormat="false" ht="15" hidden="false" customHeight="true" outlineLevel="0" collapsed="false">
      <c r="A19" s="1" t="s">
        <v>32</v>
      </c>
      <c r="B19" s="1" t="s">
        <v>29</v>
      </c>
      <c r="E19" s="1" t="s">
        <v>34</v>
      </c>
      <c r="F19" s="1" t="s">
        <v>18</v>
      </c>
      <c r="G19" s="1" t="n">
        <v>53174</v>
      </c>
      <c r="H19" s="1" t="s">
        <v>13</v>
      </c>
    </row>
    <row r="20" customFormat="false" ht="15" hidden="false" customHeight="true" outlineLevel="0" collapsed="false">
      <c r="A20" s="1" t="s">
        <v>32</v>
      </c>
      <c r="B20" s="1" t="s">
        <v>29</v>
      </c>
      <c r="E20" s="1" t="s">
        <v>35</v>
      </c>
      <c r="F20" s="1" t="s">
        <v>18</v>
      </c>
      <c r="G20" s="1" t="n">
        <v>134420</v>
      </c>
      <c r="H20" s="1" t="s">
        <v>13</v>
      </c>
    </row>
    <row r="21" customFormat="false" ht="15" hidden="false" customHeight="true" outlineLevel="0" collapsed="false">
      <c r="A21" s="1" t="s">
        <v>32</v>
      </c>
      <c r="B21" s="1" t="s">
        <v>29</v>
      </c>
      <c r="E21" s="1" t="s">
        <v>30</v>
      </c>
      <c r="F21" s="1" t="s">
        <v>18</v>
      </c>
      <c r="G21" s="1" t="n">
        <v>149000</v>
      </c>
      <c r="H21" s="1" t="s">
        <v>31</v>
      </c>
    </row>
    <row r="22" customFormat="false" ht="15" hidden="false" customHeight="true" outlineLevel="0" collapsed="false">
      <c r="A22" s="1" t="s">
        <v>36</v>
      </c>
      <c r="B22" s="1" t="s">
        <v>21</v>
      </c>
      <c r="E22" s="1" t="s">
        <v>22</v>
      </c>
      <c r="F22" s="1" t="s">
        <v>18</v>
      </c>
      <c r="G22" s="1" t="n">
        <v>559000</v>
      </c>
      <c r="H22" s="1" t="s">
        <v>37</v>
      </c>
    </row>
    <row r="23" customFormat="false" ht="15" hidden="false" customHeight="true" outlineLevel="0" collapsed="false">
      <c r="A23" s="1" t="s">
        <v>36</v>
      </c>
      <c r="B23" s="1" t="s">
        <v>16</v>
      </c>
      <c r="E23" s="1" t="s">
        <v>17</v>
      </c>
      <c r="F23" s="1" t="s">
        <v>18</v>
      </c>
      <c r="G23" s="1" t="n">
        <v>130000</v>
      </c>
      <c r="H23" s="1" t="s">
        <v>37</v>
      </c>
    </row>
    <row r="24" customFormat="false" ht="15" hidden="false" customHeight="true" outlineLevel="0" collapsed="false">
      <c r="A24" s="1" t="s">
        <v>36</v>
      </c>
      <c r="B24" s="1" t="s">
        <v>16</v>
      </c>
      <c r="E24" s="1" t="s">
        <v>33</v>
      </c>
      <c r="F24" s="1" t="s">
        <v>18</v>
      </c>
      <c r="G24" s="1" t="n">
        <v>130000</v>
      </c>
      <c r="H24" s="1" t="s">
        <v>37</v>
      </c>
    </row>
    <row r="25" customFormat="false" ht="15" hidden="false" customHeight="true" outlineLevel="0" collapsed="false">
      <c r="A25" s="1" t="s">
        <v>36</v>
      </c>
      <c r="B25" s="1" t="s">
        <v>10</v>
      </c>
      <c r="E25" s="1" t="s">
        <v>23</v>
      </c>
      <c r="F25" s="1" t="s">
        <v>18</v>
      </c>
      <c r="G25" s="1" t="n">
        <v>160000</v>
      </c>
      <c r="H25" s="1" t="s">
        <v>37</v>
      </c>
    </row>
    <row r="26" customFormat="false" ht="15" hidden="false" customHeight="true" outlineLevel="0" collapsed="false">
      <c r="A26" s="1" t="s">
        <v>36</v>
      </c>
      <c r="B26" s="1" t="s">
        <v>27</v>
      </c>
      <c r="E26" s="1" t="s">
        <v>28</v>
      </c>
      <c r="F26" s="1" t="s">
        <v>18</v>
      </c>
      <c r="G26" s="1" t="n">
        <v>356000</v>
      </c>
      <c r="H26" s="1" t="s">
        <v>13</v>
      </c>
    </row>
    <row r="27" customFormat="false" ht="15" hidden="false" customHeight="true" outlineLevel="0" collapsed="false">
      <c r="A27" s="1" t="s">
        <v>36</v>
      </c>
      <c r="B27" s="1" t="s">
        <v>29</v>
      </c>
      <c r="E27" s="1" t="s">
        <v>30</v>
      </c>
      <c r="F27" s="1" t="s">
        <v>18</v>
      </c>
      <c r="G27" s="1" t="n">
        <v>149000</v>
      </c>
      <c r="H27" s="1" t="s">
        <v>31</v>
      </c>
    </row>
    <row r="28" customFormat="false" ht="15" hidden="false" customHeight="true" outlineLevel="0" collapsed="false">
      <c r="A28" s="1" t="s">
        <v>38</v>
      </c>
      <c r="B28" s="1" t="s">
        <v>21</v>
      </c>
      <c r="E28" s="1" t="s">
        <v>22</v>
      </c>
      <c r="F28" s="1" t="s">
        <v>18</v>
      </c>
      <c r="G28" s="1" t="n">
        <v>559000</v>
      </c>
      <c r="H28" s="1" t="s">
        <v>37</v>
      </c>
    </row>
    <row r="29" customFormat="false" ht="15" hidden="false" customHeight="true" outlineLevel="0" collapsed="false">
      <c r="A29" s="1" t="s">
        <v>38</v>
      </c>
      <c r="B29" s="1" t="s">
        <v>16</v>
      </c>
      <c r="E29" s="1" t="s">
        <v>17</v>
      </c>
      <c r="F29" s="1" t="s">
        <v>18</v>
      </c>
      <c r="G29" s="1" t="n">
        <v>130000</v>
      </c>
      <c r="H29" s="1" t="s">
        <v>37</v>
      </c>
    </row>
    <row r="30" customFormat="false" ht="15" hidden="false" customHeight="true" outlineLevel="0" collapsed="false">
      <c r="A30" s="1" t="s">
        <v>38</v>
      </c>
      <c r="B30" s="1" t="s">
        <v>16</v>
      </c>
      <c r="E30" s="1" t="s">
        <v>33</v>
      </c>
      <c r="F30" s="1" t="s">
        <v>18</v>
      </c>
      <c r="G30" s="1" t="n">
        <v>130000</v>
      </c>
      <c r="H30" s="1" t="s">
        <v>37</v>
      </c>
    </row>
    <row r="31" customFormat="false" ht="15" hidden="false" customHeight="true" outlineLevel="0" collapsed="false">
      <c r="A31" s="1" t="s">
        <v>38</v>
      </c>
      <c r="B31" s="1" t="s">
        <v>10</v>
      </c>
      <c r="E31" s="1" t="s">
        <v>23</v>
      </c>
      <c r="F31" s="1" t="s">
        <v>18</v>
      </c>
      <c r="G31" s="1" t="n">
        <v>160000</v>
      </c>
      <c r="H31" s="1" t="s">
        <v>37</v>
      </c>
    </row>
    <row r="32" customFormat="false" ht="15" hidden="false" customHeight="true" outlineLevel="0" collapsed="false">
      <c r="A32" s="1" t="s">
        <v>38</v>
      </c>
      <c r="B32" s="1" t="s">
        <v>27</v>
      </c>
      <c r="E32" s="1" t="s">
        <v>28</v>
      </c>
      <c r="F32" s="1" t="s">
        <v>18</v>
      </c>
      <c r="G32" s="1" t="n">
        <v>359000</v>
      </c>
      <c r="H32" s="1" t="s">
        <v>13</v>
      </c>
    </row>
    <row r="33" customFormat="false" ht="15" hidden="false" customHeight="true" outlineLevel="0" collapsed="false">
      <c r="A33" s="1" t="s">
        <v>38</v>
      </c>
      <c r="B33" s="1" t="s">
        <v>29</v>
      </c>
      <c r="E33" s="1" t="s">
        <v>30</v>
      </c>
      <c r="F33" s="1" t="s">
        <v>18</v>
      </c>
      <c r="G33" s="1" t="n">
        <v>149000</v>
      </c>
      <c r="H33" s="1" t="s">
        <v>31</v>
      </c>
    </row>
    <row r="34" customFormat="false" ht="15" hidden="false" customHeight="true" outlineLevel="0" collapsed="false">
      <c r="A34" s="1" t="s">
        <v>39</v>
      </c>
      <c r="B34" s="1" t="s">
        <v>21</v>
      </c>
      <c r="E34" s="1" t="s">
        <v>22</v>
      </c>
      <c r="F34" s="1" t="s">
        <v>18</v>
      </c>
      <c r="G34" s="1" t="n">
        <v>559000</v>
      </c>
      <c r="H34" s="1" t="s">
        <v>37</v>
      </c>
    </row>
    <row r="35" customFormat="false" ht="15" hidden="false" customHeight="true" outlineLevel="0" collapsed="false">
      <c r="A35" s="1" t="s">
        <v>39</v>
      </c>
      <c r="B35" s="1" t="s">
        <v>16</v>
      </c>
      <c r="E35" s="1" t="s">
        <v>17</v>
      </c>
      <c r="F35" s="1" t="s">
        <v>18</v>
      </c>
      <c r="G35" s="1" t="n">
        <v>130000</v>
      </c>
      <c r="H35" s="1" t="s">
        <v>37</v>
      </c>
    </row>
    <row r="36" customFormat="false" ht="15" hidden="false" customHeight="true" outlineLevel="0" collapsed="false">
      <c r="A36" s="1" t="s">
        <v>39</v>
      </c>
      <c r="B36" s="1" t="s">
        <v>16</v>
      </c>
      <c r="E36" s="1" t="s">
        <v>33</v>
      </c>
      <c r="F36" s="1" t="s">
        <v>18</v>
      </c>
      <c r="G36" s="1" t="n">
        <v>130000</v>
      </c>
      <c r="H36" s="1" t="s">
        <v>37</v>
      </c>
    </row>
    <row r="37" customFormat="false" ht="15" hidden="false" customHeight="true" outlineLevel="0" collapsed="false">
      <c r="A37" s="1" t="s">
        <v>39</v>
      </c>
      <c r="B37" s="1" t="s">
        <v>10</v>
      </c>
      <c r="E37" s="1" t="s">
        <v>23</v>
      </c>
      <c r="F37" s="1" t="s">
        <v>18</v>
      </c>
      <c r="G37" s="1" t="n">
        <v>160000</v>
      </c>
      <c r="H37" s="1" t="s">
        <v>37</v>
      </c>
    </row>
    <row r="38" customFormat="false" ht="15" hidden="false" customHeight="true" outlineLevel="0" collapsed="false">
      <c r="A38" s="1" t="s">
        <v>39</v>
      </c>
      <c r="B38" s="1" t="s">
        <v>27</v>
      </c>
      <c r="E38" s="1" t="s">
        <v>28</v>
      </c>
      <c r="F38" s="1" t="s">
        <v>18</v>
      </c>
      <c r="G38" s="1" t="n">
        <v>356000</v>
      </c>
      <c r="H38" s="1" t="s">
        <v>13</v>
      </c>
    </row>
    <row r="39" customFormat="false" ht="15" hidden="false" customHeight="true" outlineLevel="0" collapsed="false">
      <c r="A39" s="1" t="s">
        <v>39</v>
      </c>
      <c r="B39" s="1" t="s">
        <v>29</v>
      </c>
      <c r="E39" s="1" t="s">
        <v>30</v>
      </c>
      <c r="F39" s="1" t="s">
        <v>18</v>
      </c>
      <c r="G39" s="1" t="n">
        <v>149000</v>
      </c>
      <c r="H39" s="1" t="s">
        <v>31</v>
      </c>
    </row>
    <row r="40" customFormat="false" ht="15" hidden="false" customHeight="true" outlineLevel="0" collapsed="false">
      <c r="A40" s="1" t="s">
        <v>40</v>
      </c>
      <c r="B40" s="1" t="s">
        <v>21</v>
      </c>
      <c r="E40" s="1" t="s">
        <v>22</v>
      </c>
      <c r="F40" s="1" t="s">
        <v>18</v>
      </c>
      <c r="G40" s="1" t="n">
        <v>559000</v>
      </c>
      <c r="H40" s="1" t="s">
        <v>37</v>
      </c>
    </row>
    <row r="41" customFormat="false" ht="15" hidden="false" customHeight="true" outlineLevel="0" collapsed="false">
      <c r="A41" s="1" t="s">
        <v>40</v>
      </c>
      <c r="B41" s="1" t="s">
        <v>16</v>
      </c>
      <c r="E41" s="1" t="s">
        <v>17</v>
      </c>
      <c r="F41" s="1" t="s">
        <v>18</v>
      </c>
      <c r="G41" s="1" t="n">
        <v>130000</v>
      </c>
      <c r="H41" s="1" t="s">
        <v>37</v>
      </c>
    </row>
    <row r="42" customFormat="false" ht="15" hidden="false" customHeight="true" outlineLevel="0" collapsed="false">
      <c r="A42" s="1" t="s">
        <v>40</v>
      </c>
      <c r="B42" s="1" t="s">
        <v>16</v>
      </c>
      <c r="E42" s="1" t="s">
        <v>33</v>
      </c>
      <c r="F42" s="1" t="s">
        <v>18</v>
      </c>
      <c r="G42" s="1" t="n">
        <v>130000</v>
      </c>
      <c r="H42" s="1" t="s">
        <v>37</v>
      </c>
    </row>
    <row r="43" customFormat="false" ht="15" hidden="false" customHeight="true" outlineLevel="0" collapsed="false">
      <c r="A43" s="1" t="s">
        <v>40</v>
      </c>
      <c r="B43" s="1" t="s">
        <v>10</v>
      </c>
      <c r="E43" s="1" t="s">
        <v>23</v>
      </c>
      <c r="F43" s="1" t="s">
        <v>18</v>
      </c>
      <c r="G43" s="1" t="n">
        <v>160000</v>
      </c>
      <c r="H43" s="1" t="s">
        <v>37</v>
      </c>
    </row>
    <row r="44" customFormat="false" ht="15" hidden="false" customHeight="true" outlineLevel="0" collapsed="false">
      <c r="A44" s="1" t="s">
        <v>40</v>
      </c>
      <c r="B44" s="1" t="s">
        <v>27</v>
      </c>
      <c r="E44" s="1" t="s">
        <v>28</v>
      </c>
      <c r="F44" s="1" t="s">
        <v>18</v>
      </c>
      <c r="G44" s="1" t="n">
        <v>356000</v>
      </c>
      <c r="H44" s="1" t="s">
        <v>37</v>
      </c>
    </row>
    <row r="45" customFormat="false" ht="15" hidden="false" customHeight="true" outlineLevel="0" collapsed="false">
      <c r="A45" s="1" t="s">
        <v>40</v>
      </c>
      <c r="B45" s="1" t="s">
        <v>29</v>
      </c>
      <c r="E45" s="1" t="s">
        <v>30</v>
      </c>
      <c r="F45" s="1" t="s">
        <v>18</v>
      </c>
      <c r="G45" s="1" t="n">
        <v>149000</v>
      </c>
      <c r="H45" s="1" t="s">
        <v>31</v>
      </c>
    </row>
    <row r="46" customFormat="false" ht="15" hidden="false" customHeight="true" outlineLevel="0" collapsed="false">
      <c r="A46" s="1" t="s">
        <v>41</v>
      </c>
      <c r="B46" s="1" t="s">
        <v>21</v>
      </c>
      <c r="E46" s="1" t="s">
        <v>22</v>
      </c>
      <c r="F46" s="1" t="s">
        <v>18</v>
      </c>
      <c r="G46" s="1" t="n">
        <v>559000</v>
      </c>
      <c r="H46" s="1" t="s">
        <v>37</v>
      </c>
    </row>
    <row r="47" customFormat="false" ht="15" hidden="false" customHeight="true" outlineLevel="0" collapsed="false">
      <c r="A47" s="1" t="s">
        <v>41</v>
      </c>
      <c r="B47" s="1" t="s">
        <v>16</v>
      </c>
      <c r="E47" s="1" t="s">
        <v>17</v>
      </c>
      <c r="F47" s="1" t="s">
        <v>18</v>
      </c>
      <c r="G47" s="1" t="n">
        <v>130000</v>
      </c>
      <c r="H47" s="1" t="s">
        <v>37</v>
      </c>
    </row>
    <row r="48" customFormat="false" ht="15" hidden="false" customHeight="true" outlineLevel="0" collapsed="false">
      <c r="A48" s="1" t="s">
        <v>41</v>
      </c>
      <c r="B48" s="1" t="s">
        <v>16</v>
      </c>
      <c r="E48" s="1" t="s">
        <v>33</v>
      </c>
      <c r="F48" s="1" t="s">
        <v>18</v>
      </c>
      <c r="G48" s="1" t="n">
        <v>130000</v>
      </c>
      <c r="H48" s="1" t="s">
        <v>37</v>
      </c>
    </row>
    <row r="49" customFormat="false" ht="15" hidden="false" customHeight="true" outlineLevel="0" collapsed="false">
      <c r="A49" s="1" t="s">
        <v>41</v>
      </c>
      <c r="B49" s="1" t="s">
        <v>10</v>
      </c>
      <c r="E49" s="1" t="s">
        <v>23</v>
      </c>
      <c r="F49" s="1" t="s">
        <v>18</v>
      </c>
      <c r="G49" s="1" t="n">
        <v>160000</v>
      </c>
      <c r="H49" s="1" t="s">
        <v>37</v>
      </c>
    </row>
    <row r="50" customFormat="false" ht="15" hidden="false" customHeight="true" outlineLevel="0" collapsed="false">
      <c r="A50" s="1" t="s">
        <v>41</v>
      </c>
      <c r="B50" s="1" t="s">
        <v>27</v>
      </c>
      <c r="E50" s="1" t="s">
        <v>28</v>
      </c>
      <c r="F50" s="1" t="s">
        <v>18</v>
      </c>
      <c r="G50" s="1" t="n">
        <v>356000</v>
      </c>
      <c r="H50" s="1" t="s">
        <v>37</v>
      </c>
    </row>
    <row r="51" customFormat="false" ht="15" hidden="false" customHeight="true" outlineLevel="0" collapsed="false">
      <c r="A51" s="1" t="s">
        <v>41</v>
      </c>
      <c r="B51" s="1" t="s">
        <v>29</v>
      </c>
      <c r="E51" s="1" t="s">
        <v>30</v>
      </c>
      <c r="F51" s="1" t="s">
        <v>18</v>
      </c>
      <c r="G51" s="1" t="n">
        <v>149000</v>
      </c>
      <c r="H51" s="1" t="s">
        <v>31</v>
      </c>
    </row>
    <row r="52" customFormat="false" ht="15" hidden="false" customHeight="true" outlineLevel="0" collapsed="false">
      <c r="A52" s="1" t="s">
        <v>42</v>
      </c>
      <c r="B52" s="1" t="s">
        <v>21</v>
      </c>
      <c r="E52" s="1" t="s">
        <v>22</v>
      </c>
      <c r="F52" s="1" t="s">
        <v>18</v>
      </c>
      <c r="G52" s="1" t="n">
        <v>559000</v>
      </c>
      <c r="H52" s="1" t="s">
        <v>13</v>
      </c>
    </row>
    <row r="53" customFormat="false" ht="15" hidden="false" customHeight="true" outlineLevel="0" collapsed="false">
      <c r="A53" s="1" t="s">
        <v>42</v>
      </c>
      <c r="B53" s="1" t="s">
        <v>16</v>
      </c>
      <c r="E53" s="1" t="s">
        <v>17</v>
      </c>
      <c r="F53" s="1" t="s">
        <v>18</v>
      </c>
      <c r="G53" s="1" t="n">
        <v>120000</v>
      </c>
      <c r="H53" s="1" t="s">
        <v>13</v>
      </c>
    </row>
    <row r="54" customFormat="false" ht="15" hidden="false" customHeight="true" outlineLevel="0" collapsed="false">
      <c r="A54" s="1" t="s">
        <v>42</v>
      </c>
      <c r="B54" s="1" t="s">
        <v>16</v>
      </c>
      <c r="E54" s="1" t="s">
        <v>33</v>
      </c>
      <c r="F54" s="1" t="s">
        <v>18</v>
      </c>
      <c r="G54" s="1" t="n">
        <v>142000</v>
      </c>
      <c r="H54" s="1" t="s">
        <v>13</v>
      </c>
    </row>
    <row r="55" customFormat="false" ht="15" hidden="false" customHeight="true" outlineLevel="0" collapsed="false">
      <c r="A55" s="1" t="s">
        <v>42</v>
      </c>
      <c r="B55" s="1" t="s">
        <v>10</v>
      </c>
      <c r="E55" s="1" t="s">
        <v>23</v>
      </c>
      <c r="F55" s="1" t="s">
        <v>18</v>
      </c>
      <c r="G55" s="1" t="n">
        <v>160000</v>
      </c>
      <c r="H55" s="1" t="s">
        <v>13</v>
      </c>
    </row>
    <row r="56" customFormat="false" ht="15" hidden="false" customHeight="true" outlineLevel="0" collapsed="false">
      <c r="A56" s="1" t="s">
        <v>42</v>
      </c>
      <c r="B56" s="1" t="s">
        <v>27</v>
      </c>
      <c r="E56" s="1" t="s">
        <v>28</v>
      </c>
      <c r="F56" s="1" t="s">
        <v>18</v>
      </c>
      <c r="G56" s="1" t="n">
        <v>356000</v>
      </c>
      <c r="H56" s="1" t="s">
        <v>13</v>
      </c>
    </row>
    <row r="57" customFormat="false" ht="15" hidden="false" customHeight="true" outlineLevel="0" collapsed="false">
      <c r="A57" s="1" t="s">
        <v>42</v>
      </c>
      <c r="B57" s="1" t="s">
        <v>29</v>
      </c>
      <c r="E57" s="1" t="s">
        <v>30</v>
      </c>
      <c r="F57" s="1" t="s">
        <v>18</v>
      </c>
      <c r="G57" s="1" t="n">
        <v>149000</v>
      </c>
      <c r="H57" s="1" t="s">
        <v>31</v>
      </c>
    </row>
    <row r="58" customFormat="false" ht="15" hidden="false" customHeight="true" outlineLevel="0" collapsed="false">
      <c r="A58" s="1" t="s">
        <v>43</v>
      </c>
      <c r="B58" s="1" t="s">
        <v>21</v>
      </c>
      <c r="E58" s="1" t="s">
        <v>22</v>
      </c>
      <c r="F58" s="1" t="s">
        <v>18</v>
      </c>
      <c r="G58" s="1" t="n">
        <v>559000</v>
      </c>
      <c r="H58" s="1" t="s">
        <v>13</v>
      </c>
    </row>
    <row r="59" customFormat="false" ht="15" hidden="false" customHeight="true" outlineLevel="0" collapsed="false">
      <c r="A59" s="1" t="s">
        <v>43</v>
      </c>
      <c r="B59" s="1" t="s">
        <v>16</v>
      </c>
      <c r="E59" s="1" t="s">
        <v>17</v>
      </c>
      <c r="F59" s="1" t="s">
        <v>18</v>
      </c>
      <c r="G59" s="1" t="n">
        <v>130000</v>
      </c>
      <c r="H59" s="1" t="s">
        <v>13</v>
      </c>
    </row>
    <row r="60" customFormat="false" ht="15" hidden="false" customHeight="true" outlineLevel="0" collapsed="false">
      <c r="A60" s="1" t="s">
        <v>43</v>
      </c>
      <c r="B60" s="1" t="s">
        <v>16</v>
      </c>
      <c r="E60" s="1" t="s">
        <v>33</v>
      </c>
      <c r="F60" s="1" t="s">
        <v>18</v>
      </c>
      <c r="G60" s="1" t="n">
        <v>140000</v>
      </c>
      <c r="H60" s="1" t="s">
        <v>13</v>
      </c>
    </row>
    <row r="61" customFormat="false" ht="15" hidden="false" customHeight="true" outlineLevel="0" collapsed="false">
      <c r="A61" s="1" t="s">
        <v>43</v>
      </c>
      <c r="B61" s="1" t="s">
        <v>10</v>
      </c>
      <c r="E61" s="1" t="s">
        <v>23</v>
      </c>
      <c r="F61" s="1" t="s">
        <v>18</v>
      </c>
      <c r="G61" s="1" t="n">
        <v>160000</v>
      </c>
      <c r="H61" s="1" t="s">
        <v>13</v>
      </c>
    </row>
    <row r="62" customFormat="false" ht="15" hidden="false" customHeight="true" outlineLevel="0" collapsed="false">
      <c r="A62" s="1" t="s">
        <v>43</v>
      </c>
      <c r="B62" s="1" t="s">
        <v>27</v>
      </c>
      <c r="E62" s="1" t="s">
        <v>28</v>
      </c>
      <c r="F62" s="1" t="s">
        <v>18</v>
      </c>
      <c r="G62" s="1" t="n">
        <v>356000</v>
      </c>
      <c r="H62" s="1" t="s">
        <v>13</v>
      </c>
    </row>
    <row r="63" customFormat="false" ht="15" hidden="false" customHeight="true" outlineLevel="0" collapsed="false">
      <c r="A63" s="1" t="s">
        <v>43</v>
      </c>
      <c r="B63" s="1" t="s">
        <v>29</v>
      </c>
      <c r="E63" s="1" t="s">
        <v>30</v>
      </c>
      <c r="F63" s="1" t="s">
        <v>18</v>
      </c>
      <c r="G63" s="1" t="n">
        <v>0</v>
      </c>
      <c r="H63" s="1" t="s">
        <v>31</v>
      </c>
    </row>
    <row r="64" customFormat="false" ht="15" hidden="false" customHeight="true" outlineLevel="0" collapsed="false">
      <c r="A64" s="1" t="s">
        <v>44</v>
      </c>
      <c r="B64" s="1" t="s">
        <v>21</v>
      </c>
      <c r="E64" s="1" t="s">
        <v>22</v>
      </c>
      <c r="F64" s="1" t="s">
        <v>18</v>
      </c>
      <c r="G64" s="1" t="n">
        <v>559000</v>
      </c>
      <c r="H64" s="1" t="s">
        <v>13</v>
      </c>
    </row>
    <row r="65" customFormat="false" ht="15" hidden="false" customHeight="true" outlineLevel="0" collapsed="false">
      <c r="A65" s="1" t="s">
        <v>44</v>
      </c>
      <c r="B65" s="1" t="s">
        <v>16</v>
      </c>
      <c r="E65" s="1" t="s">
        <v>17</v>
      </c>
      <c r="F65" s="1" t="s">
        <v>18</v>
      </c>
      <c r="G65" s="1" t="n">
        <v>130000</v>
      </c>
      <c r="H65" s="1" t="s">
        <v>13</v>
      </c>
    </row>
    <row r="66" customFormat="false" ht="15" hidden="false" customHeight="true" outlineLevel="0" collapsed="false">
      <c r="A66" s="1" t="s">
        <v>44</v>
      </c>
      <c r="B66" s="1" t="s">
        <v>16</v>
      </c>
      <c r="E66" s="1" t="s">
        <v>33</v>
      </c>
      <c r="F66" s="1" t="s">
        <v>18</v>
      </c>
      <c r="G66" s="1" t="n">
        <v>130000</v>
      </c>
      <c r="H66" s="1" t="s">
        <v>13</v>
      </c>
    </row>
    <row r="67" customFormat="false" ht="15" hidden="false" customHeight="true" outlineLevel="0" collapsed="false">
      <c r="A67" s="1" t="s">
        <v>44</v>
      </c>
      <c r="B67" s="1" t="s">
        <v>10</v>
      </c>
      <c r="E67" s="1" t="s">
        <v>23</v>
      </c>
      <c r="F67" s="1" t="s">
        <v>18</v>
      </c>
      <c r="G67" s="1" t="n">
        <v>160000</v>
      </c>
      <c r="H67" s="1" t="s">
        <v>13</v>
      </c>
    </row>
    <row r="68" customFormat="false" ht="15" hidden="false" customHeight="true" outlineLevel="0" collapsed="false">
      <c r="A68" s="1" t="s">
        <v>44</v>
      </c>
      <c r="B68" s="1" t="s">
        <v>27</v>
      </c>
      <c r="E68" s="1" t="s">
        <v>28</v>
      </c>
      <c r="F68" s="1" t="s">
        <v>18</v>
      </c>
      <c r="G68" s="1" t="n">
        <v>356000</v>
      </c>
      <c r="H68" s="1" t="s">
        <v>13</v>
      </c>
    </row>
    <row r="69" customFormat="false" ht="15" hidden="false" customHeight="true" outlineLevel="0" collapsed="false">
      <c r="A69" s="1" t="s">
        <v>44</v>
      </c>
      <c r="B69" s="1" t="s">
        <v>29</v>
      </c>
      <c r="E69" s="1" t="s">
        <v>30</v>
      </c>
      <c r="F69" s="1" t="s">
        <v>18</v>
      </c>
      <c r="G69" s="1" t="n">
        <v>0</v>
      </c>
      <c r="H69" s="1" t="s">
        <v>31</v>
      </c>
    </row>
    <row r="70" customFormat="false" ht="15" hidden="false" customHeight="true" outlineLevel="0" collapsed="false">
      <c r="A70" s="1" t="s">
        <v>45</v>
      </c>
      <c r="B70" s="1" t="s">
        <v>21</v>
      </c>
      <c r="E70" s="1" t="s">
        <v>22</v>
      </c>
      <c r="F70" s="1" t="s">
        <v>18</v>
      </c>
      <c r="G70" s="1" t="n">
        <v>559000</v>
      </c>
      <c r="H70" s="1" t="s">
        <v>13</v>
      </c>
    </row>
    <row r="71" customFormat="false" ht="15" hidden="false" customHeight="true" outlineLevel="0" collapsed="false">
      <c r="A71" s="1" t="s">
        <v>45</v>
      </c>
      <c r="B71" s="1" t="s">
        <v>16</v>
      </c>
      <c r="E71" s="1" t="s">
        <v>17</v>
      </c>
      <c r="F71" s="1" t="s">
        <v>18</v>
      </c>
      <c r="G71" s="1" t="n">
        <v>130000</v>
      </c>
      <c r="H71" s="1" t="s">
        <v>13</v>
      </c>
    </row>
    <row r="72" customFormat="false" ht="15" hidden="false" customHeight="true" outlineLevel="0" collapsed="false">
      <c r="A72" s="1" t="s">
        <v>45</v>
      </c>
      <c r="B72" s="1" t="s">
        <v>16</v>
      </c>
      <c r="E72" s="1" t="s">
        <v>33</v>
      </c>
      <c r="F72" s="1" t="s">
        <v>18</v>
      </c>
      <c r="G72" s="1" t="n">
        <v>130000</v>
      </c>
      <c r="H72" s="1" t="s">
        <v>13</v>
      </c>
    </row>
    <row r="73" customFormat="false" ht="15" hidden="false" customHeight="true" outlineLevel="0" collapsed="false">
      <c r="A73" s="1" t="s">
        <v>45</v>
      </c>
      <c r="B73" s="1" t="s">
        <v>10</v>
      </c>
      <c r="E73" s="1" t="s">
        <v>23</v>
      </c>
      <c r="F73" s="1" t="s">
        <v>18</v>
      </c>
      <c r="G73" s="1" t="n">
        <v>160000</v>
      </c>
      <c r="H73" s="1" t="s">
        <v>13</v>
      </c>
    </row>
    <row r="74" customFormat="false" ht="15" hidden="false" customHeight="true" outlineLevel="0" collapsed="false">
      <c r="A74" s="1" t="s">
        <v>45</v>
      </c>
      <c r="B74" s="1" t="s">
        <v>27</v>
      </c>
      <c r="E74" s="1" t="s">
        <v>28</v>
      </c>
      <c r="F74" s="1" t="s">
        <v>18</v>
      </c>
      <c r="G74" s="1" t="n">
        <v>356000</v>
      </c>
      <c r="H74" s="1" t="s">
        <v>13</v>
      </c>
    </row>
    <row r="75" customFormat="false" ht="15" hidden="false" customHeight="true" outlineLevel="0" collapsed="false">
      <c r="A75" s="1" t="s">
        <v>45</v>
      </c>
      <c r="B75" s="1" t="s">
        <v>29</v>
      </c>
      <c r="E75" s="1" t="s">
        <v>30</v>
      </c>
      <c r="F75" s="1" t="s">
        <v>18</v>
      </c>
      <c r="G75" s="1" t="n">
        <v>0</v>
      </c>
      <c r="H75" s="1" t="s">
        <v>31</v>
      </c>
    </row>
    <row r="76" customFormat="false" ht="15" hidden="false" customHeight="true" outlineLevel="0" collapsed="false">
      <c r="A76" s="1" t="s">
        <v>46</v>
      </c>
      <c r="B76" s="1" t="s">
        <v>21</v>
      </c>
      <c r="E76" s="1" t="s">
        <v>22</v>
      </c>
      <c r="F76" s="1" t="s">
        <v>18</v>
      </c>
      <c r="G76" s="1" t="n">
        <v>559000</v>
      </c>
      <c r="H76" s="1" t="s">
        <v>13</v>
      </c>
    </row>
    <row r="77" customFormat="false" ht="15" hidden="false" customHeight="true" outlineLevel="0" collapsed="false">
      <c r="A77" s="1" t="s">
        <v>46</v>
      </c>
      <c r="B77" s="1" t="s">
        <v>16</v>
      </c>
      <c r="E77" s="1" t="s">
        <v>17</v>
      </c>
      <c r="F77" s="1" t="s">
        <v>18</v>
      </c>
      <c r="G77" s="1" t="n">
        <v>130000</v>
      </c>
      <c r="H77" s="1" t="s">
        <v>13</v>
      </c>
    </row>
    <row r="78" customFormat="false" ht="15" hidden="false" customHeight="true" outlineLevel="0" collapsed="false">
      <c r="A78" s="1" t="s">
        <v>46</v>
      </c>
      <c r="B78" s="1" t="s">
        <v>16</v>
      </c>
      <c r="E78" s="1" t="s">
        <v>33</v>
      </c>
      <c r="F78" s="1" t="s">
        <v>18</v>
      </c>
      <c r="G78" s="1" t="n">
        <v>130000</v>
      </c>
      <c r="H78" s="1" t="s">
        <v>13</v>
      </c>
    </row>
    <row r="79" customFormat="false" ht="15" hidden="false" customHeight="true" outlineLevel="0" collapsed="false">
      <c r="A79" s="1" t="s">
        <v>46</v>
      </c>
      <c r="B79" s="1" t="s">
        <v>10</v>
      </c>
      <c r="E79" s="1" t="s">
        <v>23</v>
      </c>
      <c r="F79" s="1" t="s">
        <v>18</v>
      </c>
      <c r="G79" s="1" t="n">
        <v>160000</v>
      </c>
      <c r="H79" s="1" t="s">
        <v>13</v>
      </c>
    </row>
    <row r="80" customFormat="false" ht="15" hidden="false" customHeight="true" outlineLevel="0" collapsed="false">
      <c r="A80" s="1" t="s">
        <v>46</v>
      </c>
      <c r="B80" s="1" t="s">
        <v>27</v>
      </c>
      <c r="E80" s="1" t="s">
        <v>28</v>
      </c>
      <c r="F80" s="1" t="s">
        <v>18</v>
      </c>
      <c r="G80" s="1" t="n">
        <v>356000</v>
      </c>
      <c r="H80" s="1" t="s">
        <v>13</v>
      </c>
    </row>
    <row r="81" customFormat="false" ht="15" hidden="false" customHeight="true" outlineLevel="0" collapsed="false">
      <c r="A81" s="1" t="s">
        <v>46</v>
      </c>
      <c r="B81" s="1" t="s">
        <v>29</v>
      </c>
      <c r="E81" s="1" t="s">
        <v>30</v>
      </c>
      <c r="F81" s="1" t="s">
        <v>18</v>
      </c>
      <c r="G81" s="1" t="n">
        <v>0</v>
      </c>
      <c r="H81" s="1" t="s">
        <v>31</v>
      </c>
    </row>
    <row r="82" customFormat="false" ht="15" hidden="false" customHeight="true" outlineLevel="0" collapsed="false">
      <c r="A82" s="1" t="s">
        <v>38</v>
      </c>
      <c r="B82" s="1" t="s">
        <v>19</v>
      </c>
      <c r="E82" s="1" t="s">
        <v>20</v>
      </c>
      <c r="F82" s="1" t="s">
        <v>18</v>
      </c>
      <c r="G82" s="1" t="n">
        <v>2345000</v>
      </c>
      <c r="H82" s="1" t="s">
        <v>37</v>
      </c>
    </row>
    <row r="83" customFormat="false" ht="15" hidden="false" customHeight="true" outlineLevel="0" collapsed="false">
      <c r="A83" s="1" t="s">
        <v>39</v>
      </c>
      <c r="B83" s="1" t="s">
        <v>19</v>
      </c>
      <c r="E83" s="1" t="s">
        <v>20</v>
      </c>
      <c r="F83" s="1" t="s">
        <v>18</v>
      </c>
      <c r="G83" s="1" t="n">
        <v>2345000</v>
      </c>
      <c r="H83" s="1" t="s">
        <v>37</v>
      </c>
    </row>
    <row r="84" customFormat="false" ht="15" hidden="false" customHeight="true" outlineLevel="0" collapsed="false">
      <c r="A84" s="1" t="s">
        <v>40</v>
      </c>
      <c r="B84" s="1" t="s">
        <v>19</v>
      </c>
      <c r="E84" s="1" t="s">
        <v>20</v>
      </c>
      <c r="F84" s="1" t="s">
        <v>18</v>
      </c>
      <c r="G84" s="1" t="n">
        <v>2345000</v>
      </c>
      <c r="H84" s="1" t="s">
        <v>37</v>
      </c>
    </row>
    <row r="85" customFormat="false" ht="15" hidden="false" customHeight="true" outlineLevel="0" collapsed="false">
      <c r="A85" s="1" t="s">
        <v>41</v>
      </c>
      <c r="B85" s="1" t="s">
        <v>19</v>
      </c>
      <c r="E85" s="1" t="s">
        <v>20</v>
      </c>
      <c r="F85" s="1" t="s">
        <v>18</v>
      </c>
      <c r="G85" s="1" t="n">
        <v>2345000</v>
      </c>
      <c r="H85" s="1" t="s">
        <v>37</v>
      </c>
    </row>
    <row r="86" customFormat="false" ht="15" hidden="false" customHeight="true" outlineLevel="0" collapsed="false">
      <c r="A86" s="1" t="s">
        <v>42</v>
      </c>
      <c r="B86" s="1" t="s">
        <v>19</v>
      </c>
      <c r="E86" s="1" t="s">
        <v>20</v>
      </c>
      <c r="F86" s="1" t="s">
        <v>18</v>
      </c>
      <c r="G86" s="1" t="n">
        <v>2345000</v>
      </c>
      <c r="H86" s="1" t="s">
        <v>13</v>
      </c>
    </row>
    <row r="87" customFormat="false" ht="15" hidden="false" customHeight="true" outlineLevel="0" collapsed="false">
      <c r="A87" s="1" t="s">
        <v>43</v>
      </c>
      <c r="B87" s="1" t="s">
        <v>19</v>
      </c>
      <c r="E87" s="1" t="s">
        <v>20</v>
      </c>
      <c r="F87" s="1" t="s">
        <v>18</v>
      </c>
      <c r="G87" s="1" t="n">
        <v>2345000</v>
      </c>
      <c r="H87" s="1" t="s">
        <v>13</v>
      </c>
    </row>
    <row r="88" customFormat="false" ht="15" hidden="false" customHeight="true" outlineLevel="0" collapsed="false">
      <c r="A88" s="1" t="s">
        <v>44</v>
      </c>
      <c r="B88" s="1" t="s">
        <v>19</v>
      </c>
      <c r="E88" s="1" t="s">
        <v>20</v>
      </c>
      <c r="F88" s="1" t="s">
        <v>18</v>
      </c>
      <c r="G88" s="1" t="n">
        <v>2345000</v>
      </c>
      <c r="H88" s="1" t="s">
        <v>13</v>
      </c>
    </row>
    <row r="89" customFormat="false" ht="15" hidden="false" customHeight="true" outlineLevel="0" collapsed="false">
      <c r="A89" s="1" t="s">
        <v>45</v>
      </c>
      <c r="B89" s="1" t="s">
        <v>19</v>
      </c>
      <c r="E89" s="1" t="s">
        <v>20</v>
      </c>
      <c r="F89" s="1" t="s">
        <v>18</v>
      </c>
      <c r="G89" s="1" t="n">
        <v>2345000</v>
      </c>
      <c r="H89" s="1" t="s">
        <v>13</v>
      </c>
    </row>
    <row r="90" customFormat="false" ht="15" hidden="false" customHeight="true" outlineLevel="0" collapsed="false">
      <c r="A90" s="1" t="s">
        <v>36</v>
      </c>
      <c r="B90" s="1" t="s">
        <v>10</v>
      </c>
      <c r="E90" s="1" t="s">
        <v>26</v>
      </c>
      <c r="F90" s="1" t="s">
        <v>18</v>
      </c>
      <c r="G90" s="1" t="n">
        <v>50000</v>
      </c>
      <c r="H90" s="1" t="s">
        <v>37</v>
      </c>
    </row>
    <row r="91" customFormat="false" ht="15" hidden="false" customHeight="true" outlineLevel="0" collapsed="false">
      <c r="A91" s="1" t="s">
        <v>38</v>
      </c>
      <c r="B91" s="1" t="s">
        <v>10</v>
      </c>
      <c r="E91" s="1" t="s">
        <v>26</v>
      </c>
      <c r="F91" s="1" t="s">
        <v>18</v>
      </c>
      <c r="G91" s="1" t="n">
        <v>250000</v>
      </c>
      <c r="H91" s="1" t="s">
        <v>37</v>
      </c>
    </row>
    <row r="92" customFormat="false" ht="15" hidden="false" customHeight="true" outlineLevel="0" collapsed="false">
      <c r="A92" s="1" t="s">
        <v>39</v>
      </c>
      <c r="B92" s="1" t="s">
        <v>10</v>
      </c>
      <c r="E92" s="1" t="s">
        <v>26</v>
      </c>
      <c r="F92" s="1" t="s">
        <v>18</v>
      </c>
      <c r="G92" s="1" t="n">
        <v>250000</v>
      </c>
      <c r="H92" s="1" t="s">
        <v>37</v>
      </c>
    </row>
    <row r="93" customFormat="false" ht="15" hidden="false" customHeight="true" outlineLevel="0" collapsed="false">
      <c r="A93" s="1" t="s">
        <v>40</v>
      </c>
      <c r="B93" s="1" t="s">
        <v>10</v>
      </c>
      <c r="E93" s="1" t="s">
        <v>26</v>
      </c>
      <c r="F93" s="1" t="s">
        <v>18</v>
      </c>
      <c r="G93" s="1" t="n">
        <v>250000</v>
      </c>
      <c r="H93" s="1" t="s">
        <v>37</v>
      </c>
    </row>
    <row r="94" customFormat="false" ht="15" hidden="false" customHeight="true" outlineLevel="0" collapsed="false">
      <c r="A94" s="1" t="s">
        <v>41</v>
      </c>
      <c r="B94" s="1" t="s">
        <v>10</v>
      </c>
      <c r="E94" s="1" t="s">
        <v>26</v>
      </c>
      <c r="F94" s="1" t="s">
        <v>18</v>
      </c>
      <c r="G94" s="1" t="n">
        <v>250000</v>
      </c>
      <c r="H94" s="1" t="s">
        <v>37</v>
      </c>
    </row>
    <row r="95" customFormat="false" ht="15" hidden="false" customHeight="true" outlineLevel="0" collapsed="false">
      <c r="A95" s="1" t="s">
        <v>42</v>
      </c>
      <c r="B95" s="1" t="s">
        <v>10</v>
      </c>
      <c r="E95" s="1" t="s">
        <v>26</v>
      </c>
      <c r="F95" s="1" t="s">
        <v>18</v>
      </c>
      <c r="G95" s="1" t="n">
        <v>250000</v>
      </c>
      <c r="H95" s="1" t="s">
        <v>13</v>
      </c>
    </row>
    <row r="96" customFormat="false" ht="15" hidden="false" customHeight="true" outlineLevel="0" collapsed="false">
      <c r="A96" s="1" t="s">
        <v>32</v>
      </c>
      <c r="B96" s="1" t="s">
        <v>10</v>
      </c>
      <c r="E96" s="1" t="s">
        <v>26</v>
      </c>
      <c r="F96" s="1" t="s">
        <v>18</v>
      </c>
      <c r="G96" s="1" t="n">
        <v>250000</v>
      </c>
      <c r="H96" s="1" t="s">
        <v>13</v>
      </c>
    </row>
    <row r="97" customFormat="false" ht="15" hidden="false" customHeight="true" outlineLevel="0" collapsed="false">
      <c r="A97" s="1" t="s">
        <v>43</v>
      </c>
      <c r="B97" s="1" t="s">
        <v>10</v>
      </c>
      <c r="E97" s="1" t="s">
        <v>26</v>
      </c>
      <c r="F97" s="1" t="s">
        <v>18</v>
      </c>
      <c r="G97" s="1" t="n">
        <v>250000</v>
      </c>
      <c r="H97" s="1" t="s">
        <v>13</v>
      </c>
    </row>
    <row r="98" customFormat="false" ht="15" hidden="false" customHeight="true" outlineLevel="0" collapsed="false">
      <c r="A98" s="1" t="s">
        <v>44</v>
      </c>
      <c r="B98" s="1" t="s">
        <v>10</v>
      </c>
      <c r="E98" s="1" t="s">
        <v>26</v>
      </c>
      <c r="F98" s="1" t="s">
        <v>18</v>
      </c>
      <c r="G98" s="1" t="n">
        <v>250000</v>
      </c>
      <c r="H98" s="1" t="s">
        <v>13</v>
      </c>
    </row>
    <row r="99" customFormat="false" ht="15" hidden="false" customHeight="true" outlineLevel="0" collapsed="false">
      <c r="A99" s="1" t="s">
        <v>45</v>
      </c>
      <c r="B99" s="1" t="s">
        <v>10</v>
      </c>
      <c r="E99" s="1" t="s">
        <v>26</v>
      </c>
      <c r="F99" s="1" t="s">
        <v>18</v>
      </c>
      <c r="G99" s="1" t="n">
        <v>250000</v>
      </c>
      <c r="H99" s="1" t="s">
        <v>13</v>
      </c>
    </row>
    <row r="100" customFormat="false" ht="15" hidden="false" customHeight="true" outlineLevel="0" collapsed="false">
      <c r="A100" s="1" t="s">
        <v>46</v>
      </c>
      <c r="B100" s="1" t="s">
        <v>10</v>
      </c>
      <c r="E100" s="1" t="s">
        <v>26</v>
      </c>
      <c r="F100" s="1" t="s">
        <v>18</v>
      </c>
      <c r="G100" s="1" t="n">
        <v>250000</v>
      </c>
      <c r="H100" s="1" t="s">
        <v>13</v>
      </c>
    </row>
    <row r="101" customFormat="false" ht="15" hidden="false" customHeight="true" outlineLevel="0" collapsed="false">
      <c r="A101" s="1" t="s">
        <v>39</v>
      </c>
      <c r="B101" s="1" t="s">
        <v>19</v>
      </c>
      <c r="E101" s="1" t="s">
        <v>24</v>
      </c>
      <c r="F101" s="1" t="s">
        <v>12</v>
      </c>
      <c r="G101" s="1" t="n">
        <v>1040000</v>
      </c>
      <c r="H101" s="1" t="s">
        <v>25</v>
      </c>
    </row>
    <row r="102" customFormat="false" ht="15" hidden="false" customHeight="true" outlineLevel="0" collapsed="false">
      <c r="A102" s="1" t="s">
        <v>40</v>
      </c>
      <c r="B102" s="1" t="s">
        <v>19</v>
      </c>
      <c r="E102" s="1" t="s">
        <v>24</v>
      </c>
      <c r="F102" s="1" t="s">
        <v>12</v>
      </c>
      <c r="G102" s="1" t="n">
        <v>1040000</v>
      </c>
      <c r="H102" s="1" t="s">
        <v>25</v>
      </c>
    </row>
    <row r="103" customFormat="false" ht="15" hidden="false" customHeight="true" outlineLevel="0" collapsed="false">
      <c r="A103" s="1" t="s">
        <v>41</v>
      </c>
      <c r="B103" s="1" t="s">
        <v>19</v>
      </c>
      <c r="E103" s="1" t="s">
        <v>24</v>
      </c>
      <c r="F103" s="1" t="s">
        <v>12</v>
      </c>
      <c r="G103" s="1" t="n">
        <v>1040000</v>
      </c>
      <c r="H103" s="1" t="s">
        <v>25</v>
      </c>
    </row>
    <row r="104" customFormat="false" ht="15" hidden="false" customHeight="true" outlineLevel="0" collapsed="false">
      <c r="A104" s="1" t="s">
        <v>42</v>
      </c>
      <c r="B104" s="1" t="s">
        <v>19</v>
      </c>
      <c r="E104" s="1" t="s">
        <v>24</v>
      </c>
      <c r="F104" s="1" t="s">
        <v>12</v>
      </c>
      <c r="G104" s="1" t="n">
        <v>1040000</v>
      </c>
      <c r="H104" s="1" t="s">
        <v>25</v>
      </c>
    </row>
    <row r="105" customFormat="false" ht="15" hidden="false" customHeight="true" outlineLevel="0" collapsed="false">
      <c r="A105" s="1" t="s">
        <v>43</v>
      </c>
      <c r="B105" s="1" t="s">
        <v>19</v>
      </c>
      <c r="E105" s="1" t="s">
        <v>24</v>
      </c>
      <c r="F105" s="1" t="s">
        <v>12</v>
      </c>
      <c r="G105" s="1" t="n">
        <v>1040000</v>
      </c>
      <c r="H105" s="1" t="s">
        <v>25</v>
      </c>
    </row>
    <row r="106" customFormat="false" ht="15" hidden="false" customHeight="true" outlineLevel="0" collapsed="false">
      <c r="A106" s="1" t="s">
        <v>44</v>
      </c>
      <c r="B106" s="1" t="s">
        <v>19</v>
      </c>
      <c r="E106" s="1" t="s">
        <v>24</v>
      </c>
      <c r="F106" s="1" t="s">
        <v>12</v>
      </c>
      <c r="G106" s="1" t="n">
        <v>1040000</v>
      </c>
      <c r="H106" s="1" t="s">
        <v>25</v>
      </c>
    </row>
    <row r="107" customFormat="false" ht="15" hidden="false" customHeight="true" outlineLevel="0" collapsed="false">
      <c r="A107" s="1" t="s">
        <v>45</v>
      </c>
      <c r="B107" s="1" t="s">
        <v>19</v>
      </c>
      <c r="E107" s="1" t="s">
        <v>24</v>
      </c>
      <c r="F107" s="1" t="s">
        <v>12</v>
      </c>
      <c r="G107" s="1" t="n">
        <v>1040000</v>
      </c>
      <c r="H107" s="1" t="s">
        <v>25</v>
      </c>
    </row>
    <row r="108" customFormat="false" ht="15" hidden="false" customHeight="true" outlineLevel="0" collapsed="false">
      <c r="A108" s="1" t="s">
        <v>46</v>
      </c>
      <c r="B108" s="1" t="s">
        <v>19</v>
      </c>
      <c r="E108" s="1" t="s">
        <v>24</v>
      </c>
      <c r="F108" s="1" t="s">
        <v>12</v>
      </c>
      <c r="G108" s="1" t="n">
        <v>1040000</v>
      </c>
      <c r="H108" s="1" t="s">
        <v>25</v>
      </c>
    </row>
    <row r="109" customFormat="false" ht="15" hidden="false" customHeight="true" outlineLevel="0" collapsed="false">
      <c r="A109" s="1" t="s">
        <v>40</v>
      </c>
      <c r="B109" s="1" t="s">
        <v>47</v>
      </c>
      <c r="E109" s="1" t="s">
        <v>48</v>
      </c>
      <c r="F109" s="1" t="s">
        <v>18</v>
      </c>
      <c r="G109" s="1" t="n">
        <v>505932</v>
      </c>
      <c r="H109" s="1" t="s">
        <v>31</v>
      </c>
    </row>
    <row r="110" customFormat="false" ht="15" hidden="false" customHeight="true" outlineLevel="0" collapsed="false">
      <c r="A110" s="1" t="s">
        <v>41</v>
      </c>
      <c r="B110" s="1" t="s">
        <v>47</v>
      </c>
      <c r="E110" s="1" t="s">
        <v>49</v>
      </c>
      <c r="F110" s="1" t="s">
        <v>18</v>
      </c>
      <c r="G110" s="1" t="n">
        <v>505932</v>
      </c>
      <c r="H110" s="1" t="s">
        <v>31</v>
      </c>
    </row>
    <row r="111" customFormat="false" ht="15" hidden="false" customHeight="true" outlineLevel="0" collapsed="false">
      <c r="A111" s="1" t="s">
        <v>42</v>
      </c>
      <c r="B111" s="1" t="s">
        <v>47</v>
      </c>
      <c r="E111" s="1" t="s">
        <v>50</v>
      </c>
      <c r="F111" s="1" t="s">
        <v>18</v>
      </c>
      <c r="G111" s="1" t="n">
        <v>505932</v>
      </c>
      <c r="H111" s="1" t="s">
        <v>51</v>
      </c>
    </row>
    <row r="112" customFormat="false" ht="15" hidden="false" customHeight="true" outlineLevel="0" collapsed="false">
      <c r="A112" s="1" t="s">
        <v>32</v>
      </c>
      <c r="B112" s="1" t="s">
        <v>47</v>
      </c>
      <c r="E112" s="1" t="s">
        <v>52</v>
      </c>
      <c r="F112" s="1" t="s">
        <v>18</v>
      </c>
      <c r="G112" s="1" t="n">
        <v>505932</v>
      </c>
      <c r="H112" s="1" t="s">
        <v>51</v>
      </c>
    </row>
    <row r="113" customFormat="false" ht="15" hidden="false" customHeight="true" outlineLevel="0" collapsed="false">
      <c r="A113" s="1" t="s">
        <v>43</v>
      </c>
      <c r="B113" s="1" t="s">
        <v>47</v>
      </c>
      <c r="D113" s="1" t="s">
        <v>53</v>
      </c>
      <c r="E113" s="1" t="s">
        <v>54</v>
      </c>
      <c r="F113" s="1" t="s">
        <v>18</v>
      </c>
      <c r="G113" s="1" t="n">
        <v>505932</v>
      </c>
      <c r="H113" s="1" t="s">
        <v>51</v>
      </c>
    </row>
    <row r="114" customFormat="false" ht="15" hidden="false" customHeight="true" outlineLevel="0" collapsed="false">
      <c r="A114" s="1" t="s">
        <v>43</v>
      </c>
      <c r="B114" s="1" t="s">
        <v>47</v>
      </c>
      <c r="E114" s="1" t="s">
        <v>55</v>
      </c>
      <c r="F114" s="1" t="s">
        <v>18</v>
      </c>
      <c r="G114" s="1" t="n">
        <v>505932</v>
      </c>
      <c r="H114" s="1" t="s">
        <v>51</v>
      </c>
    </row>
    <row r="115" customFormat="false" ht="15" hidden="false" customHeight="true" outlineLevel="0" collapsed="false">
      <c r="A115" s="1" t="s">
        <v>44</v>
      </c>
      <c r="B115" s="1" t="s">
        <v>47</v>
      </c>
      <c r="E115" s="1" t="s">
        <v>56</v>
      </c>
      <c r="F115" s="1" t="s">
        <v>18</v>
      </c>
      <c r="G115" s="1" t="n">
        <v>505932</v>
      </c>
      <c r="H115" s="1" t="s">
        <v>51</v>
      </c>
    </row>
    <row r="116" customFormat="false" ht="15" hidden="false" customHeight="true" outlineLevel="0" collapsed="false">
      <c r="A116" s="1" t="s">
        <v>45</v>
      </c>
      <c r="B116" s="1" t="s">
        <v>47</v>
      </c>
      <c r="E116" s="1" t="s">
        <v>57</v>
      </c>
      <c r="F116" s="1" t="s">
        <v>18</v>
      </c>
      <c r="G116" s="1" t="n">
        <v>505932</v>
      </c>
      <c r="H116" s="1" t="s">
        <v>51</v>
      </c>
    </row>
    <row r="117" customFormat="false" ht="15" hidden="false" customHeight="true" outlineLevel="0" collapsed="false">
      <c r="A117" s="1" t="s">
        <v>46</v>
      </c>
      <c r="B117" s="1" t="s">
        <v>47</v>
      </c>
      <c r="E117" s="1" t="s">
        <v>58</v>
      </c>
      <c r="F117" s="1" t="s">
        <v>18</v>
      </c>
      <c r="G117" s="1" t="n">
        <v>505932</v>
      </c>
      <c r="H117" s="1" t="s">
        <v>51</v>
      </c>
    </row>
    <row r="118" customFormat="false" ht="15" hidden="false" customHeight="true" outlineLevel="0" collapsed="false">
      <c r="A118" s="1" t="s">
        <v>59</v>
      </c>
      <c r="B118" s="1" t="s">
        <v>47</v>
      </c>
      <c r="E118" s="1" t="s">
        <v>60</v>
      </c>
      <c r="F118" s="1" t="s">
        <v>18</v>
      </c>
      <c r="G118" s="1" t="n">
        <v>505932</v>
      </c>
      <c r="H118" s="1" t="s">
        <v>51</v>
      </c>
    </row>
    <row r="119" customFormat="false" ht="15" hidden="false" customHeight="true" outlineLevel="0" collapsed="false">
      <c r="A119" s="1" t="s">
        <v>61</v>
      </c>
      <c r="B119" s="1" t="s">
        <v>47</v>
      </c>
      <c r="E119" s="1" t="s">
        <v>62</v>
      </c>
      <c r="F119" s="1" t="s">
        <v>18</v>
      </c>
      <c r="G119" s="1" t="n">
        <v>505932</v>
      </c>
      <c r="H119" s="1" t="s">
        <v>51</v>
      </c>
    </row>
    <row r="120" customFormat="false" ht="15" hidden="false" customHeight="true" outlineLevel="0" collapsed="false">
      <c r="A120" s="1" t="s">
        <v>36</v>
      </c>
      <c r="B120" s="1" t="s">
        <v>21</v>
      </c>
      <c r="E120" s="1" t="s">
        <v>63</v>
      </c>
      <c r="F120" s="1" t="s">
        <v>18</v>
      </c>
      <c r="G120" s="1" t="n">
        <v>697200</v>
      </c>
      <c r="H120" s="1" t="s">
        <v>37</v>
      </c>
    </row>
    <row r="121" customFormat="false" ht="15" hidden="false" customHeight="true" outlineLevel="0" collapsed="false">
      <c r="A121" s="1" t="s">
        <v>36</v>
      </c>
      <c r="B121" s="1" t="s">
        <v>27</v>
      </c>
      <c r="E121" s="1" t="s">
        <v>64</v>
      </c>
      <c r="F121" s="1" t="s">
        <v>18</v>
      </c>
      <c r="G121" s="1" t="n">
        <v>330000</v>
      </c>
      <c r="H121" s="1" t="s">
        <v>37</v>
      </c>
    </row>
    <row r="122" customFormat="false" ht="15" hidden="false" customHeight="true" outlineLevel="0" collapsed="false">
      <c r="A122" s="1" t="s">
        <v>38</v>
      </c>
      <c r="B122" s="1" t="s">
        <v>21</v>
      </c>
      <c r="E122" s="1" t="s">
        <v>63</v>
      </c>
      <c r="F122" s="1" t="s">
        <v>18</v>
      </c>
      <c r="G122" s="1" t="n">
        <v>697200</v>
      </c>
      <c r="H122" s="1" t="s">
        <v>37</v>
      </c>
    </row>
    <row r="123" customFormat="false" ht="15" hidden="false" customHeight="true" outlineLevel="0" collapsed="false">
      <c r="A123" s="1" t="s">
        <v>38</v>
      </c>
      <c r="B123" s="1" t="s">
        <v>27</v>
      </c>
      <c r="E123" s="1" t="s">
        <v>64</v>
      </c>
      <c r="F123" s="1" t="s">
        <v>18</v>
      </c>
      <c r="G123" s="1" t="n">
        <v>330000</v>
      </c>
      <c r="H123" s="1" t="s">
        <v>37</v>
      </c>
    </row>
    <row r="124" customFormat="false" ht="15" hidden="false" customHeight="true" outlineLevel="0" collapsed="false">
      <c r="A124" s="1" t="s">
        <v>39</v>
      </c>
      <c r="B124" s="1" t="s">
        <v>21</v>
      </c>
      <c r="E124" s="1" t="s">
        <v>63</v>
      </c>
      <c r="F124" s="1" t="s">
        <v>18</v>
      </c>
      <c r="G124" s="1" t="n">
        <v>697200</v>
      </c>
      <c r="H124" s="1" t="s">
        <v>37</v>
      </c>
    </row>
    <row r="125" customFormat="false" ht="15" hidden="false" customHeight="true" outlineLevel="0" collapsed="false">
      <c r="A125" s="1" t="s">
        <v>39</v>
      </c>
      <c r="B125" s="1" t="s">
        <v>27</v>
      </c>
      <c r="E125" s="1" t="s">
        <v>64</v>
      </c>
      <c r="F125" s="1" t="s">
        <v>18</v>
      </c>
      <c r="G125" s="1" t="n">
        <v>330000</v>
      </c>
      <c r="H125" s="1" t="s">
        <v>37</v>
      </c>
    </row>
    <row r="126" customFormat="false" ht="15" hidden="false" customHeight="true" outlineLevel="0" collapsed="false">
      <c r="A126" s="1" t="s">
        <v>40</v>
      </c>
      <c r="B126" s="1" t="s">
        <v>21</v>
      </c>
      <c r="E126" s="1" t="s">
        <v>63</v>
      </c>
      <c r="F126" s="1" t="s">
        <v>18</v>
      </c>
      <c r="G126" s="1" t="n">
        <v>697200</v>
      </c>
      <c r="H126" s="1" t="s">
        <v>37</v>
      </c>
    </row>
    <row r="127" customFormat="false" ht="15" hidden="false" customHeight="true" outlineLevel="0" collapsed="false">
      <c r="A127" s="1" t="s">
        <v>40</v>
      </c>
      <c r="B127" s="1" t="s">
        <v>27</v>
      </c>
      <c r="E127" s="1" t="s">
        <v>64</v>
      </c>
      <c r="F127" s="1" t="s">
        <v>18</v>
      </c>
      <c r="G127" s="1" t="n">
        <v>330000</v>
      </c>
      <c r="H127" s="1" t="s">
        <v>37</v>
      </c>
    </row>
    <row r="128" customFormat="false" ht="15" hidden="false" customHeight="true" outlineLevel="0" collapsed="false">
      <c r="A128" s="1" t="s">
        <v>41</v>
      </c>
      <c r="B128" s="1" t="s">
        <v>21</v>
      </c>
      <c r="E128" s="1" t="s">
        <v>63</v>
      </c>
      <c r="F128" s="1" t="s">
        <v>18</v>
      </c>
      <c r="G128" s="1" t="n">
        <v>697200</v>
      </c>
      <c r="H128" s="1" t="s">
        <v>37</v>
      </c>
    </row>
    <row r="129" customFormat="false" ht="15" hidden="false" customHeight="true" outlineLevel="0" collapsed="false">
      <c r="A129" s="1" t="s">
        <v>41</v>
      </c>
      <c r="B129" s="1" t="s">
        <v>27</v>
      </c>
      <c r="E129" s="1" t="s">
        <v>64</v>
      </c>
      <c r="F129" s="1" t="s">
        <v>18</v>
      </c>
      <c r="G129" s="1" t="n">
        <v>330000</v>
      </c>
      <c r="H129" s="1" t="s">
        <v>37</v>
      </c>
    </row>
    <row r="130" customFormat="false" ht="15" hidden="false" customHeight="true" outlineLevel="0" collapsed="false">
      <c r="A130" s="1" t="s">
        <v>42</v>
      </c>
      <c r="B130" s="1" t="s">
        <v>21</v>
      </c>
      <c r="E130" s="1" t="s">
        <v>63</v>
      </c>
      <c r="F130" s="1" t="s">
        <v>18</v>
      </c>
      <c r="G130" s="1" t="n">
        <v>697200</v>
      </c>
      <c r="H130" s="1" t="s">
        <v>65</v>
      </c>
    </row>
    <row r="131" customFormat="false" ht="15" hidden="false" customHeight="true" outlineLevel="0" collapsed="false">
      <c r="A131" s="1" t="s">
        <v>42</v>
      </c>
      <c r="B131" s="1" t="s">
        <v>27</v>
      </c>
      <c r="E131" s="1" t="s">
        <v>64</v>
      </c>
      <c r="F131" s="1" t="s">
        <v>18</v>
      </c>
      <c r="G131" s="1" t="n">
        <v>330000</v>
      </c>
      <c r="H131" s="1" t="s">
        <v>65</v>
      </c>
    </row>
    <row r="132" customFormat="false" ht="15" hidden="false" customHeight="true" outlineLevel="0" collapsed="false">
      <c r="A132" s="1" t="s">
        <v>32</v>
      </c>
      <c r="B132" s="1" t="s">
        <v>21</v>
      </c>
      <c r="E132" s="1" t="s">
        <v>63</v>
      </c>
      <c r="F132" s="1" t="s">
        <v>18</v>
      </c>
      <c r="G132" s="1" t="n">
        <v>697200</v>
      </c>
      <c r="H132" s="1" t="s">
        <v>65</v>
      </c>
    </row>
    <row r="133" customFormat="false" ht="15" hidden="false" customHeight="true" outlineLevel="0" collapsed="false">
      <c r="A133" s="1" t="s">
        <v>32</v>
      </c>
      <c r="B133" s="1" t="s">
        <v>27</v>
      </c>
      <c r="E133" s="1" t="s">
        <v>64</v>
      </c>
      <c r="F133" s="1" t="s">
        <v>18</v>
      </c>
      <c r="G133" s="1" t="n">
        <v>330000</v>
      </c>
      <c r="H133" s="1" t="s">
        <v>65</v>
      </c>
    </row>
    <row r="134" customFormat="false" ht="15" hidden="false" customHeight="true" outlineLevel="0" collapsed="false">
      <c r="A134" s="1" t="s">
        <v>9</v>
      </c>
      <c r="B134" s="1" t="s">
        <v>21</v>
      </c>
      <c r="E134" s="1" t="s">
        <v>63</v>
      </c>
      <c r="F134" s="1" t="s">
        <v>18</v>
      </c>
      <c r="G134" s="1" t="n">
        <v>697200</v>
      </c>
      <c r="H134" s="1" t="s">
        <v>65</v>
      </c>
    </row>
    <row r="135" customFormat="false" ht="15" hidden="false" customHeight="true" outlineLevel="0" collapsed="false">
      <c r="A135" s="1" t="s">
        <v>9</v>
      </c>
      <c r="B135" s="1" t="s">
        <v>27</v>
      </c>
      <c r="E135" s="1" t="s">
        <v>64</v>
      </c>
      <c r="F135" s="1" t="s">
        <v>18</v>
      </c>
      <c r="G135" s="1" t="n">
        <v>330000</v>
      </c>
      <c r="H135" s="1" t="s">
        <v>65</v>
      </c>
    </row>
    <row r="136" customFormat="false" ht="15" hidden="false" customHeight="true" outlineLevel="0" collapsed="false">
      <c r="A136" s="1" t="s">
        <v>43</v>
      </c>
      <c r="B136" s="1" t="s">
        <v>21</v>
      </c>
      <c r="E136" s="1" t="s">
        <v>63</v>
      </c>
      <c r="F136" s="1" t="s">
        <v>18</v>
      </c>
      <c r="G136" s="1" t="n">
        <v>697200</v>
      </c>
      <c r="H136" s="1" t="s">
        <v>13</v>
      </c>
    </row>
    <row r="137" customFormat="false" ht="15" hidden="false" customHeight="true" outlineLevel="0" collapsed="false">
      <c r="A137" s="1" t="s">
        <v>43</v>
      </c>
      <c r="B137" s="1" t="s">
        <v>27</v>
      </c>
      <c r="E137" s="1" t="s">
        <v>64</v>
      </c>
      <c r="F137" s="1" t="s">
        <v>18</v>
      </c>
      <c r="G137" s="1" t="n">
        <v>330000</v>
      </c>
      <c r="H137" s="1" t="s">
        <v>13</v>
      </c>
    </row>
    <row r="138" customFormat="false" ht="15" hidden="false" customHeight="true" outlineLevel="0" collapsed="false">
      <c r="A138" s="1" t="s">
        <v>44</v>
      </c>
      <c r="B138" s="1" t="s">
        <v>21</v>
      </c>
      <c r="E138" s="1" t="s">
        <v>63</v>
      </c>
      <c r="F138" s="1" t="s">
        <v>18</v>
      </c>
      <c r="G138" s="1" t="n">
        <v>697200</v>
      </c>
      <c r="H138" s="1" t="s">
        <v>65</v>
      </c>
    </row>
    <row r="139" customFormat="false" ht="15" hidden="false" customHeight="true" outlineLevel="0" collapsed="false">
      <c r="A139" s="1" t="s">
        <v>44</v>
      </c>
      <c r="B139" s="1" t="s">
        <v>27</v>
      </c>
      <c r="E139" s="1" t="s">
        <v>64</v>
      </c>
      <c r="F139" s="1" t="s">
        <v>18</v>
      </c>
      <c r="G139" s="1" t="n">
        <v>330000</v>
      </c>
      <c r="H139" s="1" t="s">
        <v>65</v>
      </c>
    </row>
    <row r="140" customFormat="false" ht="15" hidden="false" customHeight="true" outlineLevel="0" collapsed="false">
      <c r="A140" s="1" t="s">
        <v>45</v>
      </c>
      <c r="B140" s="1" t="s">
        <v>21</v>
      </c>
      <c r="E140" s="1" t="s">
        <v>63</v>
      </c>
      <c r="F140" s="1" t="s">
        <v>18</v>
      </c>
      <c r="G140" s="1" t="n">
        <v>697200</v>
      </c>
      <c r="H140" s="1" t="s">
        <v>65</v>
      </c>
    </row>
    <row r="141" customFormat="false" ht="15" hidden="false" customHeight="true" outlineLevel="0" collapsed="false">
      <c r="A141" s="1" t="s">
        <v>45</v>
      </c>
      <c r="B141" s="1" t="s">
        <v>27</v>
      </c>
      <c r="E141" s="1" t="s">
        <v>64</v>
      </c>
      <c r="F141" s="1" t="s">
        <v>18</v>
      </c>
      <c r="G141" s="1" t="n">
        <v>330000</v>
      </c>
      <c r="H141" s="1" t="s">
        <v>65</v>
      </c>
    </row>
    <row r="142" customFormat="false" ht="15" hidden="false" customHeight="true" outlineLevel="0" collapsed="false">
      <c r="A142" s="1" t="s">
        <v>46</v>
      </c>
      <c r="B142" s="1" t="s">
        <v>21</v>
      </c>
      <c r="E142" s="1" t="s">
        <v>63</v>
      </c>
      <c r="F142" s="1" t="s">
        <v>18</v>
      </c>
      <c r="G142" s="1" t="n">
        <v>697200</v>
      </c>
      <c r="H142" s="1" t="s">
        <v>65</v>
      </c>
    </row>
    <row r="143" customFormat="false" ht="15" hidden="false" customHeight="true" outlineLevel="0" collapsed="false">
      <c r="A143" s="1" t="s">
        <v>46</v>
      </c>
      <c r="B143" s="1" t="s">
        <v>27</v>
      </c>
      <c r="E143" s="1" t="s">
        <v>64</v>
      </c>
      <c r="F143" s="1" t="s">
        <v>18</v>
      </c>
      <c r="G143" s="1" t="n">
        <v>330000</v>
      </c>
      <c r="H143" s="1" t="s">
        <v>65</v>
      </c>
    </row>
    <row r="144" customFormat="false" ht="15" hidden="false" customHeight="true" outlineLevel="0" collapsed="false">
      <c r="A144" s="1" t="s">
        <v>38</v>
      </c>
      <c r="B144" s="1" t="s">
        <v>10</v>
      </c>
      <c r="E144" s="1" t="s">
        <v>11</v>
      </c>
      <c r="F144" s="1" t="s">
        <v>12</v>
      </c>
      <c r="G144" s="1" t="n">
        <v>447000</v>
      </c>
      <c r="H144" s="1" t="s">
        <v>37</v>
      </c>
    </row>
    <row r="145" customFormat="false" ht="15" hidden="false" customHeight="true" outlineLevel="0" collapsed="false">
      <c r="A145" s="1" t="s">
        <v>39</v>
      </c>
      <c r="B145" s="1" t="s">
        <v>10</v>
      </c>
      <c r="E145" s="1" t="s">
        <v>11</v>
      </c>
      <c r="F145" s="1" t="s">
        <v>12</v>
      </c>
      <c r="G145" s="1" t="n">
        <v>612000</v>
      </c>
      <c r="H145" s="1" t="s">
        <v>37</v>
      </c>
    </row>
    <row r="146" customFormat="false" ht="15" hidden="false" customHeight="true" outlineLevel="0" collapsed="false">
      <c r="A146" s="1" t="s">
        <v>40</v>
      </c>
      <c r="B146" s="1" t="s">
        <v>10</v>
      </c>
      <c r="E146" s="1" t="s">
        <v>11</v>
      </c>
      <c r="F146" s="1" t="s">
        <v>12</v>
      </c>
      <c r="G146" s="1" t="n">
        <v>346800</v>
      </c>
      <c r="H146" s="1" t="s">
        <v>37</v>
      </c>
    </row>
    <row r="147" customFormat="false" ht="15" hidden="false" customHeight="true" outlineLevel="0" collapsed="false">
      <c r="A147" s="1" t="s">
        <v>41</v>
      </c>
      <c r="B147" s="1" t="s">
        <v>10</v>
      </c>
      <c r="E147" s="1" t="s">
        <v>11</v>
      </c>
      <c r="F147" s="1" t="s">
        <v>12</v>
      </c>
      <c r="G147" s="1" t="n">
        <v>390000</v>
      </c>
      <c r="H147" s="1" t="s">
        <v>37</v>
      </c>
    </row>
    <row r="148" customFormat="false" ht="15" hidden="false" customHeight="true" outlineLevel="0" collapsed="false">
      <c r="A148" s="1" t="s">
        <v>42</v>
      </c>
      <c r="B148" s="1" t="s">
        <v>10</v>
      </c>
      <c r="E148" s="1" t="s">
        <v>11</v>
      </c>
      <c r="F148" s="1" t="s">
        <v>12</v>
      </c>
      <c r="G148" s="1" t="n">
        <v>188700</v>
      </c>
      <c r="H148" s="1" t="s">
        <v>13</v>
      </c>
    </row>
    <row r="149" customFormat="false" ht="15" hidden="false" customHeight="true" outlineLevel="0" collapsed="false">
      <c r="A149" s="1" t="s">
        <v>42</v>
      </c>
      <c r="B149" s="1" t="s">
        <v>29</v>
      </c>
      <c r="E149" s="1" t="s">
        <v>35</v>
      </c>
      <c r="F149" s="1" t="s">
        <v>18</v>
      </c>
      <c r="G149" s="1" t="n">
        <v>135960</v>
      </c>
      <c r="H149" s="1" t="s">
        <v>13</v>
      </c>
    </row>
    <row r="150" customFormat="false" ht="15" hidden="false" customHeight="true" outlineLevel="0" collapsed="false">
      <c r="A150" s="1" t="s">
        <v>42</v>
      </c>
      <c r="B150" s="1" t="s">
        <v>29</v>
      </c>
      <c r="E150" s="1" t="s">
        <v>34</v>
      </c>
      <c r="F150" s="1" t="s">
        <v>18</v>
      </c>
      <c r="G150" s="1" t="n">
        <v>54316</v>
      </c>
      <c r="H150" s="1" t="s">
        <v>13</v>
      </c>
    </row>
    <row r="151" customFormat="false" ht="15" hidden="false" customHeight="true" outlineLevel="0" collapsed="false">
      <c r="A151" s="1" t="s">
        <v>43</v>
      </c>
      <c r="B151" s="1" t="s">
        <v>29</v>
      </c>
      <c r="E151" s="1" t="s">
        <v>34</v>
      </c>
      <c r="F151" s="1" t="s">
        <v>18</v>
      </c>
      <c r="G151" s="1" t="n">
        <v>0</v>
      </c>
      <c r="H151" s="1" t="s">
        <v>13</v>
      </c>
    </row>
    <row r="152" customFormat="false" ht="15" hidden="false" customHeight="true" outlineLevel="0" collapsed="false">
      <c r="A152" s="1" t="s">
        <v>44</v>
      </c>
      <c r="B152" s="1" t="s">
        <v>29</v>
      </c>
      <c r="E152" s="1" t="s">
        <v>34</v>
      </c>
      <c r="F152" s="1" t="s">
        <v>18</v>
      </c>
      <c r="G152" s="1" t="n">
        <v>0</v>
      </c>
      <c r="H152" s="1" t="s">
        <v>13</v>
      </c>
    </row>
    <row r="153" customFormat="false" ht="15" hidden="false" customHeight="true" outlineLevel="0" collapsed="false">
      <c r="A153" s="1" t="s">
        <v>45</v>
      </c>
      <c r="B153" s="1" t="s">
        <v>29</v>
      </c>
      <c r="E153" s="1" t="s">
        <v>34</v>
      </c>
      <c r="F153" s="1" t="s">
        <v>18</v>
      </c>
      <c r="G153" s="1" t="n">
        <v>0</v>
      </c>
      <c r="H153" s="1" t="s">
        <v>13</v>
      </c>
    </row>
    <row r="154" customFormat="false" ht="15" hidden="false" customHeight="true" outlineLevel="0" collapsed="false">
      <c r="A154" s="1" t="s">
        <v>46</v>
      </c>
      <c r="B154" s="1" t="s">
        <v>29</v>
      </c>
      <c r="E154" s="1" t="s">
        <v>34</v>
      </c>
      <c r="F154" s="1" t="s">
        <v>18</v>
      </c>
      <c r="G154" s="1" t="n">
        <v>0</v>
      </c>
      <c r="H154" s="1" t="s">
        <v>13</v>
      </c>
    </row>
    <row r="155" customFormat="false" ht="15" hidden="false" customHeight="true" outlineLevel="0" collapsed="false">
      <c r="A155" s="1" t="s">
        <v>9</v>
      </c>
      <c r="B155" s="1" t="s">
        <v>66</v>
      </c>
      <c r="C155" s="1" t="s">
        <v>67</v>
      </c>
      <c r="D155" s="1" t="s">
        <v>68</v>
      </c>
      <c r="E155" s="1" t="s">
        <v>69</v>
      </c>
      <c r="F155" s="1" t="s">
        <v>12</v>
      </c>
      <c r="G155" s="1" t="n">
        <v>246000</v>
      </c>
      <c r="H155" s="1" t="s">
        <v>13</v>
      </c>
    </row>
    <row r="156" customFormat="false" ht="15" hidden="false" customHeight="true" outlineLevel="0" collapsed="false">
      <c r="A156" s="1" t="s">
        <v>9</v>
      </c>
      <c r="B156" s="1" t="s">
        <v>66</v>
      </c>
      <c r="C156" s="1" t="s">
        <v>70</v>
      </c>
      <c r="D156" s="1" t="s">
        <v>71</v>
      </c>
      <c r="E156" s="1" t="s">
        <v>72</v>
      </c>
      <c r="F156" s="1" t="s">
        <v>12</v>
      </c>
      <c r="G156" s="1" t="n">
        <v>221000</v>
      </c>
      <c r="H156" s="1" t="s">
        <v>13</v>
      </c>
    </row>
    <row r="157" customFormat="false" ht="15" hidden="false" customHeight="true" outlineLevel="0" collapsed="false">
      <c r="A157" s="1" t="s">
        <v>9</v>
      </c>
      <c r="B157" s="1" t="s">
        <v>66</v>
      </c>
      <c r="C157" s="1" t="s">
        <v>73</v>
      </c>
      <c r="D157" s="1" t="s">
        <v>71</v>
      </c>
      <c r="E157" s="1" t="s">
        <v>74</v>
      </c>
      <c r="F157" s="1" t="s">
        <v>12</v>
      </c>
      <c r="G157" s="1" t="n">
        <v>25000</v>
      </c>
      <c r="H157" s="1" t="s">
        <v>37</v>
      </c>
    </row>
    <row r="158" customFormat="false" ht="15" hidden="false" customHeight="true" outlineLevel="0" collapsed="false">
      <c r="A158" s="1" t="s">
        <v>9</v>
      </c>
      <c r="B158" s="1" t="s">
        <v>66</v>
      </c>
      <c r="C158" s="1" t="s">
        <v>75</v>
      </c>
      <c r="D158" s="1" t="s">
        <v>76</v>
      </c>
      <c r="E158" s="1" t="s">
        <v>77</v>
      </c>
      <c r="F158" s="1" t="s">
        <v>12</v>
      </c>
      <c r="G158" s="1" t="n">
        <v>35000</v>
      </c>
      <c r="H158" s="1" t="s">
        <v>37</v>
      </c>
    </row>
    <row r="159" customFormat="false" ht="15" hidden="false" customHeight="true" outlineLevel="0" collapsed="false">
      <c r="A159" s="1" t="s">
        <v>9</v>
      </c>
      <c r="B159" s="1" t="s">
        <v>66</v>
      </c>
      <c r="C159" s="1" t="s">
        <v>78</v>
      </c>
      <c r="D159" s="1" t="s">
        <v>79</v>
      </c>
      <c r="E159" s="1" t="s">
        <v>78</v>
      </c>
      <c r="F159" s="1" t="s">
        <v>12</v>
      </c>
      <c r="G159" s="1" t="n">
        <v>120000</v>
      </c>
      <c r="H159" s="1" t="s">
        <v>25</v>
      </c>
    </row>
    <row r="160" customFormat="false" ht="15" hidden="false" customHeight="true" outlineLevel="0" collapsed="false">
      <c r="A160" s="1" t="s">
        <v>9</v>
      </c>
      <c r="B160" s="1" t="s">
        <v>66</v>
      </c>
      <c r="C160" s="1" t="s">
        <v>80</v>
      </c>
      <c r="D160" s="1" t="s">
        <v>79</v>
      </c>
      <c r="E160" s="1" t="s">
        <v>81</v>
      </c>
      <c r="F160" s="1" t="s">
        <v>12</v>
      </c>
      <c r="G160" s="1" t="n">
        <v>139750</v>
      </c>
      <c r="H160" s="1" t="s">
        <v>13</v>
      </c>
    </row>
    <row r="161" customFormat="false" ht="15" hidden="false" customHeight="true" outlineLevel="0" collapsed="false">
      <c r="A161" s="1" t="s">
        <v>9</v>
      </c>
      <c r="B161" s="1" t="s">
        <v>66</v>
      </c>
      <c r="C161" s="1" t="s">
        <v>78</v>
      </c>
      <c r="D161" s="1" t="s">
        <v>79</v>
      </c>
      <c r="E161" s="1" t="s">
        <v>78</v>
      </c>
      <c r="F161" s="1" t="s">
        <v>12</v>
      </c>
      <c r="G161" s="1" t="n">
        <v>120000</v>
      </c>
      <c r="H161" s="1" t="s">
        <v>25</v>
      </c>
    </row>
    <row r="162" customFormat="false" ht="15" hidden="false" customHeight="true" outlineLevel="0" collapsed="false">
      <c r="A162" s="1" t="s">
        <v>9</v>
      </c>
      <c r="B162" s="1" t="s">
        <v>66</v>
      </c>
      <c r="C162" s="1" t="s">
        <v>70</v>
      </c>
      <c r="D162" s="1" t="s">
        <v>79</v>
      </c>
      <c r="E162" s="1" t="s">
        <v>82</v>
      </c>
      <c r="F162" s="1" t="s">
        <v>12</v>
      </c>
      <c r="G162" s="1" t="n">
        <v>55000</v>
      </c>
      <c r="H162" s="1" t="s">
        <v>13</v>
      </c>
    </row>
    <row r="163" customFormat="false" ht="15" hidden="false" customHeight="true" outlineLevel="0" collapsed="false">
      <c r="A163" s="1" t="s">
        <v>9</v>
      </c>
      <c r="B163" s="1" t="s">
        <v>66</v>
      </c>
      <c r="C163" s="1" t="s">
        <v>83</v>
      </c>
      <c r="D163" s="1" t="s">
        <v>79</v>
      </c>
      <c r="E163" s="1" t="s">
        <v>84</v>
      </c>
      <c r="F163" s="1" t="s">
        <v>12</v>
      </c>
      <c r="G163" s="1" t="n">
        <v>30000</v>
      </c>
      <c r="H163" s="1" t="s">
        <v>13</v>
      </c>
    </row>
    <row r="164" customFormat="false" ht="15" hidden="false" customHeight="true" outlineLevel="0" collapsed="false">
      <c r="A164" s="1" t="s">
        <v>9</v>
      </c>
      <c r="B164" s="1" t="s">
        <v>66</v>
      </c>
      <c r="C164" s="1" t="s">
        <v>67</v>
      </c>
      <c r="D164" s="1" t="s">
        <v>79</v>
      </c>
      <c r="E164" s="1" t="s">
        <v>67</v>
      </c>
      <c r="F164" s="1" t="s">
        <v>12</v>
      </c>
      <c r="G164" s="1" t="n">
        <v>278000</v>
      </c>
      <c r="H164" s="1" t="s">
        <v>13</v>
      </c>
    </row>
    <row r="165" customFormat="false" ht="15" hidden="false" customHeight="true" outlineLevel="0" collapsed="false">
      <c r="A165" s="1" t="s">
        <v>9</v>
      </c>
      <c r="B165" s="1" t="s">
        <v>66</v>
      </c>
      <c r="C165" s="1" t="s">
        <v>80</v>
      </c>
      <c r="D165" s="1" t="s">
        <v>85</v>
      </c>
      <c r="E165" s="1" t="s">
        <v>80</v>
      </c>
      <c r="F165" s="1" t="s">
        <v>12</v>
      </c>
      <c r="G165" s="1" t="n">
        <v>150600</v>
      </c>
      <c r="H165" s="1" t="s">
        <v>13</v>
      </c>
    </row>
    <row r="166" customFormat="false" ht="15" hidden="false" customHeight="true" outlineLevel="0" collapsed="false">
      <c r="A166" s="1" t="s">
        <v>9</v>
      </c>
      <c r="B166" s="1" t="s">
        <v>66</v>
      </c>
      <c r="C166" s="1" t="s">
        <v>75</v>
      </c>
      <c r="D166" s="1" t="s">
        <v>85</v>
      </c>
      <c r="E166" s="1" t="s">
        <v>86</v>
      </c>
      <c r="F166" s="1" t="s">
        <v>12</v>
      </c>
      <c r="G166" s="1" t="n">
        <v>27000</v>
      </c>
      <c r="H166" s="1" t="s">
        <v>13</v>
      </c>
    </row>
    <row r="167" customFormat="false" ht="15" hidden="false" customHeight="true" outlineLevel="0" collapsed="false">
      <c r="A167" s="1" t="s">
        <v>9</v>
      </c>
      <c r="B167" s="1" t="s">
        <v>66</v>
      </c>
      <c r="C167" s="1" t="s">
        <v>70</v>
      </c>
      <c r="D167" s="1" t="s">
        <v>85</v>
      </c>
      <c r="E167" s="1" t="s">
        <v>87</v>
      </c>
      <c r="F167" s="1" t="s">
        <v>12</v>
      </c>
      <c r="G167" s="1" t="n">
        <v>68000</v>
      </c>
      <c r="H167" s="1" t="s">
        <v>13</v>
      </c>
    </row>
    <row r="168" customFormat="false" ht="15" hidden="false" customHeight="true" outlineLevel="0" collapsed="false">
      <c r="A168" s="1" t="s">
        <v>9</v>
      </c>
      <c r="B168" s="1" t="s">
        <v>66</v>
      </c>
      <c r="C168" s="1" t="s">
        <v>70</v>
      </c>
      <c r="D168" s="1" t="s">
        <v>85</v>
      </c>
      <c r="E168" s="1" t="s">
        <v>88</v>
      </c>
      <c r="F168" s="1" t="s">
        <v>12</v>
      </c>
      <c r="G168" s="1" t="n">
        <v>60000</v>
      </c>
      <c r="H168" s="1" t="s">
        <v>13</v>
      </c>
    </row>
    <row r="169" customFormat="false" ht="15" hidden="false" customHeight="true" outlineLevel="0" collapsed="false">
      <c r="A169" s="1" t="s">
        <v>9</v>
      </c>
      <c r="B169" s="1" t="s">
        <v>66</v>
      </c>
      <c r="C169" s="1" t="s">
        <v>83</v>
      </c>
      <c r="D169" s="1" t="s">
        <v>85</v>
      </c>
      <c r="E169" s="1" t="s">
        <v>84</v>
      </c>
      <c r="F169" s="1" t="s">
        <v>12</v>
      </c>
      <c r="G169" s="1" t="n">
        <v>10000</v>
      </c>
      <c r="H169" s="1" t="s">
        <v>13</v>
      </c>
    </row>
    <row r="170" customFormat="false" ht="15" hidden="false" customHeight="true" outlineLevel="0" collapsed="false">
      <c r="A170" s="1" t="s">
        <v>9</v>
      </c>
      <c r="B170" s="1" t="s">
        <v>66</v>
      </c>
      <c r="C170" s="1" t="s">
        <v>70</v>
      </c>
      <c r="D170" s="1" t="s">
        <v>85</v>
      </c>
      <c r="E170" s="1" t="s">
        <v>89</v>
      </c>
      <c r="F170" s="1" t="s">
        <v>12</v>
      </c>
      <c r="G170" s="1" t="n">
        <v>100000</v>
      </c>
      <c r="H170" s="1" t="s">
        <v>13</v>
      </c>
    </row>
    <row r="171" customFormat="false" ht="15" hidden="false" customHeight="true" outlineLevel="0" collapsed="false">
      <c r="A171" s="1" t="s">
        <v>9</v>
      </c>
      <c r="B171" s="1" t="s">
        <v>66</v>
      </c>
      <c r="C171" s="1" t="s">
        <v>90</v>
      </c>
      <c r="D171" s="1" t="s">
        <v>91</v>
      </c>
      <c r="E171" s="1" t="s">
        <v>92</v>
      </c>
      <c r="F171" s="1" t="s">
        <v>12</v>
      </c>
      <c r="G171" s="1" t="n">
        <v>138000</v>
      </c>
      <c r="H171" s="1" t="s">
        <v>25</v>
      </c>
    </row>
    <row r="172" customFormat="false" ht="15" hidden="false" customHeight="true" outlineLevel="0" collapsed="false">
      <c r="A172" s="1" t="s">
        <v>9</v>
      </c>
      <c r="B172" s="1" t="s">
        <v>66</v>
      </c>
      <c r="C172" s="1" t="s">
        <v>78</v>
      </c>
      <c r="D172" s="1" t="s">
        <v>91</v>
      </c>
      <c r="E172" s="1" t="s">
        <v>78</v>
      </c>
      <c r="F172" s="1" t="s">
        <v>12</v>
      </c>
      <c r="G172" s="1" t="n">
        <v>120000</v>
      </c>
      <c r="H172" s="1" t="s">
        <v>25</v>
      </c>
    </row>
    <row r="173" customFormat="false" ht="15" hidden="false" customHeight="true" outlineLevel="0" collapsed="false">
      <c r="A173" s="1" t="s">
        <v>9</v>
      </c>
      <c r="B173" s="1" t="s">
        <v>66</v>
      </c>
      <c r="C173" s="1" t="s">
        <v>83</v>
      </c>
      <c r="D173" s="1" t="s">
        <v>91</v>
      </c>
      <c r="E173" s="1" t="s">
        <v>93</v>
      </c>
      <c r="F173" s="1" t="s">
        <v>12</v>
      </c>
      <c r="G173" s="1" t="n">
        <v>50000</v>
      </c>
      <c r="H173" s="1" t="s">
        <v>13</v>
      </c>
    </row>
    <row r="174" customFormat="false" ht="15" hidden="false" customHeight="true" outlineLevel="0" collapsed="false">
      <c r="A174" s="1" t="s">
        <v>9</v>
      </c>
      <c r="B174" s="1" t="s">
        <v>66</v>
      </c>
      <c r="C174" s="1" t="s">
        <v>67</v>
      </c>
      <c r="D174" s="1" t="s">
        <v>91</v>
      </c>
      <c r="E174" s="1" t="s">
        <v>67</v>
      </c>
      <c r="F174" s="1" t="s">
        <v>12</v>
      </c>
      <c r="G174" s="1" t="n">
        <v>218000</v>
      </c>
      <c r="H174" s="1" t="s">
        <v>94</v>
      </c>
    </row>
    <row r="175" customFormat="false" ht="15" hidden="false" customHeight="true" outlineLevel="0" collapsed="false">
      <c r="A175" s="1" t="s">
        <v>9</v>
      </c>
      <c r="B175" s="1" t="s">
        <v>66</v>
      </c>
      <c r="C175" s="1" t="s">
        <v>95</v>
      </c>
      <c r="D175" s="1" t="s">
        <v>91</v>
      </c>
      <c r="E175" s="1" t="s">
        <v>95</v>
      </c>
      <c r="F175" s="1" t="s">
        <v>12</v>
      </c>
      <c r="G175" s="1" t="n">
        <v>333550</v>
      </c>
      <c r="H175" s="1" t="s">
        <v>94</v>
      </c>
    </row>
    <row r="176" customFormat="false" ht="15" hidden="false" customHeight="true" outlineLevel="0" collapsed="false">
      <c r="A176" s="1" t="s">
        <v>9</v>
      </c>
      <c r="B176" s="1" t="s">
        <v>66</v>
      </c>
      <c r="C176" s="1" t="s">
        <v>96</v>
      </c>
      <c r="D176" s="1" t="s">
        <v>91</v>
      </c>
      <c r="E176" s="1" t="s">
        <v>97</v>
      </c>
      <c r="F176" s="1" t="s">
        <v>12</v>
      </c>
      <c r="G176" s="1" t="n">
        <v>76612</v>
      </c>
      <c r="H176" s="1" t="s">
        <v>94</v>
      </c>
    </row>
    <row r="177" customFormat="false" ht="15" hidden="false" customHeight="true" outlineLevel="0" collapsed="false">
      <c r="A177" s="1" t="s">
        <v>9</v>
      </c>
      <c r="B177" s="1" t="s">
        <v>66</v>
      </c>
      <c r="C177" s="1" t="s">
        <v>70</v>
      </c>
      <c r="D177" s="1" t="s">
        <v>91</v>
      </c>
      <c r="E177" s="1" t="s">
        <v>70</v>
      </c>
      <c r="F177" s="1" t="s">
        <v>12</v>
      </c>
      <c r="G177" s="1" t="n">
        <v>120456</v>
      </c>
      <c r="H177" s="1" t="s">
        <v>98</v>
      </c>
    </row>
    <row r="178" customFormat="false" ht="15" hidden="false" customHeight="true" outlineLevel="0" collapsed="false">
      <c r="A178" s="1" t="s">
        <v>9</v>
      </c>
      <c r="B178" s="1" t="s">
        <v>66</v>
      </c>
      <c r="C178" s="1" t="s">
        <v>73</v>
      </c>
      <c r="D178" s="1" t="s">
        <v>91</v>
      </c>
      <c r="E178" s="1" t="s">
        <v>99</v>
      </c>
      <c r="F178" s="1" t="s">
        <v>12</v>
      </c>
      <c r="G178" s="1" t="n">
        <v>25000</v>
      </c>
      <c r="H178" s="1" t="s">
        <v>98</v>
      </c>
    </row>
    <row r="179" customFormat="false" ht="15" hidden="false" customHeight="true" outlineLevel="0" collapsed="false">
      <c r="A179" s="1" t="s">
        <v>9</v>
      </c>
      <c r="B179" s="1" t="s">
        <v>66</v>
      </c>
      <c r="C179" s="1" t="s">
        <v>80</v>
      </c>
      <c r="D179" s="1" t="s">
        <v>91</v>
      </c>
      <c r="E179" s="1" t="s">
        <v>80</v>
      </c>
      <c r="F179" s="1" t="s">
        <v>12</v>
      </c>
      <c r="G179" s="1" t="n">
        <v>849170</v>
      </c>
      <c r="H179" s="1" t="s">
        <v>13</v>
      </c>
    </row>
    <row r="180" customFormat="false" ht="15" hidden="false" customHeight="true" outlineLevel="0" collapsed="false">
      <c r="A180" s="1" t="s">
        <v>9</v>
      </c>
      <c r="B180" s="1" t="s">
        <v>66</v>
      </c>
      <c r="C180" s="1" t="s">
        <v>100</v>
      </c>
      <c r="D180" s="1" t="s">
        <v>91</v>
      </c>
      <c r="E180" s="1" t="s">
        <v>101</v>
      </c>
      <c r="F180" s="1" t="s">
        <v>12</v>
      </c>
      <c r="G180" s="1" t="n">
        <v>2007275</v>
      </c>
      <c r="H180" s="1" t="s">
        <v>13</v>
      </c>
    </row>
    <row r="181" customFormat="false" ht="15" hidden="false" customHeight="true" outlineLevel="0" collapsed="false">
      <c r="A181" s="1" t="s">
        <v>9</v>
      </c>
      <c r="B181" s="1" t="s">
        <v>66</v>
      </c>
      <c r="C181" s="1" t="s">
        <v>80</v>
      </c>
      <c r="D181" s="1" t="s">
        <v>102</v>
      </c>
      <c r="E181" s="1" t="s">
        <v>80</v>
      </c>
      <c r="F181" s="1" t="s">
        <v>12</v>
      </c>
      <c r="G181" s="1" t="n">
        <v>675000</v>
      </c>
      <c r="H181" s="1" t="s">
        <v>25</v>
      </c>
    </row>
    <row r="182" customFormat="false" ht="15" hidden="false" customHeight="true" outlineLevel="0" collapsed="false">
      <c r="A182" s="1" t="s">
        <v>9</v>
      </c>
      <c r="B182" s="1" t="s">
        <v>66</v>
      </c>
      <c r="C182" s="1" t="s">
        <v>100</v>
      </c>
      <c r="D182" s="1" t="s">
        <v>102</v>
      </c>
      <c r="E182" s="1" t="s">
        <v>101</v>
      </c>
      <c r="F182" s="1" t="s">
        <v>12</v>
      </c>
      <c r="G182" s="1" t="n">
        <v>200000</v>
      </c>
      <c r="H182" s="1" t="s">
        <v>25</v>
      </c>
    </row>
    <row r="183" customFormat="false" ht="15" hidden="false" customHeight="true" outlineLevel="0" collapsed="false">
      <c r="A183" s="1" t="s">
        <v>9</v>
      </c>
      <c r="B183" s="1" t="s">
        <v>66</v>
      </c>
      <c r="C183" s="1" t="s">
        <v>103</v>
      </c>
      <c r="D183" s="1" t="s">
        <v>102</v>
      </c>
      <c r="E183" s="1" t="s">
        <v>104</v>
      </c>
      <c r="F183" s="1" t="s">
        <v>12</v>
      </c>
      <c r="G183" s="1" t="n">
        <v>4081750</v>
      </c>
      <c r="H183" s="1" t="s">
        <v>13</v>
      </c>
    </row>
    <row r="184" customFormat="false" ht="15" hidden="false" customHeight="true" outlineLevel="0" collapsed="false">
      <c r="A184" s="1" t="s">
        <v>9</v>
      </c>
      <c r="B184" s="1" t="s">
        <v>66</v>
      </c>
      <c r="C184" s="1" t="s">
        <v>67</v>
      </c>
      <c r="D184" s="1" t="s">
        <v>105</v>
      </c>
      <c r="E184" s="1" t="s">
        <v>67</v>
      </c>
      <c r="F184" s="1" t="s">
        <v>12</v>
      </c>
      <c r="G184" s="1" t="n">
        <v>234000</v>
      </c>
      <c r="H184" s="1" t="s">
        <v>25</v>
      </c>
    </row>
    <row r="185" customFormat="false" ht="15" hidden="false" customHeight="true" outlineLevel="0" collapsed="false">
      <c r="A185" s="1" t="s">
        <v>9</v>
      </c>
      <c r="B185" s="1" t="s">
        <v>66</v>
      </c>
      <c r="C185" s="1" t="s">
        <v>106</v>
      </c>
      <c r="D185" s="1" t="s">
        <v>105</v>
      </c>
      <c r="E185" s="1" t="s">
        <v>107</v>
      </c>
      <c r="F185" s="1" t="s">
        <v>12</v>
      </c>
      <c r="G185" s="1" t="n">
        <v>651980</v>
      </c>
      <c r="H185" s="1" t="s">
        <v>13</v>
      </c>
    </row>
    <row r="186" customFormat="false" ht="15" hidden="false" customHeight="true" outlineLevel="0" collapsed="false">
      <c r="A186" s="1" t="s">
        <v>9</v>
      </c>
      <c r="B186" s="1" t="s">
        <v>66</v>
      </c>
      <c r="C186" s="1" t="s">
        <v>78</v>
      </c>
      <c r="D186" s="1" t="s">
        <v>105</v>
      </c>
      <c r="E186" s="1" t="s">
        <v>108</v>
      </c>
      <c r="F186" s="1" t="s">
        <v>12</v>
      </c>
      <c r="G186" s="1" t="n">
        <v>170000</v>
      </c>
      <c r="H186" s="1" t="s">
        <v>25</v>
      </c>
    </row>
    <row r="187" customFormat="false" ht="15" hidden="false" customHeight="true" outlineLevel="0" collapsed="false">
      <c r="A187" s="1" t="s">
        <v>9</v>
      </c>
      <c r="B187" s="1" t="s">
        <v>66</v>
      </c>
      <c r="C187" s="1" t="s">
        <v>103</v>
      </c>
      <c r="D187" s="1" t="s">
        <v>105</v>
      </c>
      <c r="E187" s="1" t="s">
        <v>109</v>
      </c>
      <c r="F187" s="1" t="s">
        <v>12</v>
      </c>
      <c r="G187" s="1" t="n">
        <v>337000</v>
      </c>
      <c r="H187" s="1" t="s">
        <v>13</v>
      </c>
    </row>
    <row r="188" customFormat="false" ht="15" hidden="false" customHeight="true" outlineLevel="0" collapsed="false">
      <c r="A188" s="1" t="s">
        <v>9</v>
      </c>
      <c r="B188" s="1" t="s">
        <v>110</v>
      </c>
      <c r="D188" s="1" t="s">
        <v>105</v>
      </c>
      <c r="E188" s="1" t="s">
        <v>111</v>
      </c>
      <c r="F188" s="1" t="s">
        <v>18</v>
      </c>
      <c r="G188" s="1" t="n">
        <v>388110</v>
      </c>
      <c r="H188" s="1" t="s">
        <v>37</v>
      </c>
    </row>
    <row r="189" customFormat="false" ht="15" hidden="false" customHeight="true" outlineLevel="0" collapsed="false">
      <c r="A189" s="1" t="s">
        <v>43</v>
      </c>
      <c r="B189" s="1" t="s">
        <v>47</v>
      </c>
      <c r="E189" s="1" t="s">
        <v>112</v>
      </c>
      <c r="F189" s="1" t="s">
        <v>18</v>
      </c>
      <c r="G189" s="1" t="n">
        <v>794100</v>
      </c>
      <c r="H189" s="1" t="s">
        <v>51</v>
      </c>
    </row>
    <row r="190" customFormat="false" ht="15" hidden="false" customHeight="true" outlineLevel="0" collapsed="false">
      <c r="A190" s="1" t="s">
        <v>9</v>
      </c>
      <c r="B190" s="1" t="s">
        <v>66</v>
      </c>
      <c r="C190" s="1" t="s">
        <v>70</v>
      </c>
      <c r="D190" s="1" t="s">
        <v>105</v>
      </c>
      <c r="E190" s="1" t="s">
        <v>113</v>
      </c>
      <c r="F190" s="1" t="s">
        <v>12</v>
      </c>
      <c r="G190" s="1" t="n">
        <v>36000</v>
      </c>
      <c r="H190" s="1" t="s">
        <v>25</v>
      </c>
    </row>
    <row r="191" customFormat="false" ht="15" hidden="false" customHeight="true" outlineLevel="0" collapsed="false">
      <c r="A191" s="1" t="s">
        <v>9</v>
      </c>
      <c r="B191" s="1" t="s">
        <v>66</v>
      </c>
      <c r="C191" s="1" t="s">
        <v>100</v>
      </c>
      <c r="D191" s="1" t="s">
        <v>114</v>
      </c>
      <c r="E191" s="1" t="s">
        <v>115</v>
      </c>
      <c r="F191" s="1" t="s">
        <v>12</v>
      </c>
      <c r="G191" s="1" t="n">
        <v>-400000</v>
      </c>
      <c r="H191" s="1" t="s">
        <v>13</v>
      </c>
    </row>
    <row r="192" customFormat="false" ht="15" hidden="false" customHeight="true" outlineLevel="0" collapsed="false">
      <c r="A192" s="1" t="s">
        <v>9</v>
      </c>
      <c r="B192" s="1" t="s">
        <v>66</v>
      </c>
      <c r="C192" s="1" t="s">
        <v>80</v>
      </c>
      <c r="D192" s="1" t="s">
        <v>114</v>
      </c>
      <c r="E192" s="1" t="s">
        <v>116</v>
      </c>
      <c r="F192" s="1" t="s">
        <v>12</v>
      </c>
      <c r="G192" s="1" t="n">
        <v>-169834</v>
      </c>
      <c r="H192" s="1" t="s">
        <v>13</v>
      </c>
    </row>
    <row r="193" customFormat="false" ht="15" hidden="false" customHeight="true" outlineLevel="0" collapsed="false">
      <c r="A193" s="1" t="s">
        <v>9</v>
      </c>
      <c r="B193" s="1" t="s">
        <v>66</v>
      </c>
      <c r="C193" s="1" t="s">
        <v>70</v>
      </c>
      <c r="D193" s="1" t="s">
        <v>117</v>
      </c>
      <c r="E193" s="1" t="s">
        <v>113</v>
      </c>
      <c r="F193" s="1" t="s">
        <v>12</v>
      </c>
      <c r="G193" s="1" t="n">
        <v>80000</v>
      </c>
      <c r="H193" s="1" t="s">
        <v>13</v>
      </c>
    </row>
    <row r="194" customFormat="false" ht="15" hidden="false" customHeight="true" outlineLevel="0" collapsed="false">
      <c r="A194" s="1" t="s">
        <v>9</v>
      </c>
      <c r="B194" s="1" t="s">
        <v>66</v>
      </c>
      <c r="C194" s="1" t="s">
        <v>83</v>
      </c>
      <c r="D194" s="1" t="s">
        <v>117</v>
      </c>
      <c r="E194" s="1" t="s">
        <v>84</v>
      </c>
      <c r="F194" s="1" t="s">
        <v>12</v>
      </c>
      <c r="G194" s="1" t="n">
        <v>20000</v>
      </c>
      <c r="H194" s="1" t="s">
        <v>13</v>
      </c>
    </row>
    <row r="195" customFormat="false" ht="15" hidden="false" customHeight="true" outlineLevel="0" collapsed="false">
      <c r="A195" s="1" t="s">
        <v>9</v>
      </c>
      <c r="B195" s="1" t="s">
        <v>66</v>
      </c>
      <c r="C195" s="1" t="s">
        <v>78</v>
      </c>
      <c r="D195" s="1" t="s">
        <v>117</v>
      </c>
      <c r="E195" s="1" t="s">
        <v>78</v>
      </c>
      <c r="F195" s="1" t="s">
        <v>12</v>
      </c>
      <c r="G195" s="1" t="n">
        <v>70000</v>
      </c>
      <c r="H195" s="1" t="s">
        <v>25</v>
      </c>
    </row>
    <row r="196" customFormat="false" ht="15" hidden="false" customHeight="true" outlineLevel="0" collapsed="false">
      <c r="A196" s="1" t="s">
        <v>9</v>
      </c>
      <c r="B196" s="1" t="s">
        <v>66</v>
      </c>
      <c r="C196" s="1" t="s">
        <v>70</v>
      </c>
      <c r="D196" s="1" t="s">
        <v>117</v>
      </c>
      <c r="E196" s="1" t="s">
        <v>118</v>
      </c>
      <c r="F196" s="1" t="s">
        <v>12</v>
      </c>
      <c r="G196" s="1" t="n">
        <v>42000</v>
      </c>
      <c r="H196" s="1" t="s">
        <v>13</v>
      </c>
    </row>
    <row r="197" customFormat="false" ht="15" hidden="false" customHeight="true" outlineLevel="0" collapsed="false">
      <c r="A197" s="1" t="s">
        <v>9</v>
      </c>
      <c r="B197" s="1" t="s">
        <v>66</v>
      </c>
      <c r="C197" s="1" t="s">
        <v>73</v>
      </c>
      <c r="D197" s="1" t="s">
        <v>119</v>
      </c>
      <c r="E197" s="1" t="s">
        <v>99</v>
      </c>
      <c r="F197" s="1" t="s">
        <v>12</v>
      </c>
      <c r="G197" s="1" t="n">
        <v>25000</v>
      </c>
      <c r="H197" s="1" t="s">
        <v>13</v>
      </c>
    </row>
    <row r="198" customFormat="false" ht="15" hidden="false" customHeight="true" outlineLevel="0" collapsed="false">
      <c r="A198" s="1" t="s">
        <v>9</v>
      </c>
      <c r="B198" s="1" t="s">
        <v>66</v>
      </c>
      <c r="C198" s="1" t="s">
        <v>83</v>
      </c>
      <c r="D198" s="1" t="s">
        <v>119</v>
      </c>
      <c r="E198" s="1" t="s">
        <v>84</v>
      </c>
      <c r="F198" s="1" t="s">
        <v>12</v>
      </c>
      <c r="G198" s="1" t="n">
        <v>20000</v>
      </c>
      <c r="H198" s="1" t="s">
        <v>13</v>
      </c>
    </row>
    <row r="199" customFormat="false" ht="15" hidden="false" customHeight="true" outlineLevel="0" collapsed="false">
      <c r="A199" s="1" t="s">
        <v>9</v>
      </c>
      <c r="B199" s="1" t="s">
        <v>66</v>
      </c>
      <c r="C199" s="1" t="s">
        <v>70</v>
      </c>
      <c r="D199" s="1" t="s">
        <v>119</v>
      </c>
      <c r="E199" s="1" t="s">
        <v>88</v>
      </c>
      <c r="F199" s="1" t="s">
        <v>12</v>
      </c>
      <c r="G199" s="1" t="n">
        <v>45000</v>
      </c>
      <c r="H199" s="1" t="s">
        <v>13</v>
      </c>
    </row>
    <row r="200" customFormat="false" ht="15" hidden="false" customHeight="true" outlineLevel="0" collapsed="false">
      <c r="A200" s="1" t="s">
        <v>9</v>
      </c>
      <c r="B200" s="1" t="s">
        <v>66</v>
      </c>
      <c r="C200" s="1" t="s">
        <v>75</v>
      </c>
      <c r="D200" s="1" t="s">
        <v>119</v>
      </c>
      <c r="E200" s="1" t="s">
        <v>120</v>
      </c>
      <c r="F200" s="1" t="s">
        <v>12</v>
      </c>
      <c r="G200" s="1" t="n">
        <v>45000</v>
      </c>
      <c r="H200" s="1" t="s">
        <v>13</v>
      </c>
    </row>
    <row r="201" customFormat="false" ht="15" hidden="false" customHeight="true" outlineLevel="0" collapsed="false">
      <c r="A201" s="1" t="s">
        <v>9</v>
      </c>
      <c r="B201" s="1" t="s">
        <v>66</v>
      </c>
      <c r="C201" s="1" t="s">
        <v>70</v>
      </c>
      <c r="D201" s="1" t="s">
        <v>119</v>
      </c>
      <c r="E201" s="1" t="s">
        <v>121</v>
      </c>
      <c r="F201" s="1" t="s">
        <v>12</v>
      </c>
      <c r="G201" s="1" t="n">
        <v>91777</v>
      </c>
      <c r="H201" s="1" t="s">
        <v>13</v>
      </c>
    </row>
    <row r="202" customFormat="false" ht="15" hidden="false" customHeight="true" outlineLevel="0" collapsed="false">
      <c r="A202" s="1" t="s">
        <v>9</v>
      </c>
      <c r="B202" s="1" t="s">
        <v>66</v>
      </c>
      <c r="C202" s="1" t="s">
        <v>70</v>
      </c>
      <c r="D202" s="1" t="s">
        <v>119</v>
      </c>
      <c r="E202" s="1" t="s">
        <v>70</v>
      </c>
      <c r="F202" s="1" t="s">
        <v>12</v>
      </c>
      <c r="G202" s="1" t="n">
        <v>50000</v>
      </c>
      <c r="H202" s="1" t="s">
        <v>13</v>
      </c>
    </row>
    <row r="203" customFormat="false" ht="15" hidden="false" customHeight="true" outlineLevel="0" collapsed="false">
      <c r="A203" s="1" t="s">
        <v>9</v>
      </c>
      <c r="B203" s="1" t="s">
        <v>66</v>
      </c>
      <c r="C203" s="1" t="s">
        <v>75</v>
      </c>
      <c r="D203" s="1" t="s">
        <v>122</v>
      </c>
      <c r="E203" s="1" t="s">
        <v>77</v>
      </c>
      <c r="F203" s="1" t="s">
        <v>12</v>
      </c>
      <c r="G203" s="1" t="n">
        <v>25000</v>
      </c>
      <c r="H203" s="1" t="s">
        <v>13</v>
      </c>
    </row>
    <row r="204" customFormat="false" ht="15" hidden="false" customHeight="true" outlineLevel="0" collapsed="false">
      <c r="A204" s="1" t="s">
        <v>9</v>
      </c>
      <c r="B204" s="1" t="s">
        <v>66</v>
      </c>
      <c r="C204" s="1" t="s">
        <v>80</v>
      </c>
      <c r="D204" s="1" t="s">
        <v>122</v>
      </c>
      <c r="E204" s="1" t="s">
        <v>80</v>
      </c>
      <c r="F204" s="1" t="s">
        <v>12</v>
      </c>
      <c r="G204" s="1" t="n">
        <v>23050</v>
      </c>
      <c r="H204" s="1" t="s">
        <v>13</v>
      </c>
    </row>
    <row r="205" customFormat="false" ht="15" hidden="false" customHeight="true" outlineLevel="0" collapsed="false">
      <c r="A205" s="1" t="s">
        <v>9</v>
      </c>
      <c r="B205" s="1" t="s">
        <v>29</v>
      </c>
      <c r="D205" s="1" t="s">
        <v>122</v>
      </c>
      <c r="E205" s="1" t="s">
        <v>123</v>
      </c>
      <c r="F205" s="1" t="s">
        <v>18</v>
      </c>
      <c r="G205" s="1" t="n">
        <v>144823</v>
      </c>
      <c r="H205" s="1" t="s">
        <v>31</v>
      </c>
    </row>
    <row r="206" customFormat="false" ht="15" hidden="false" customHeight="true" outlineLevel="0" collapsed="false">
      <c r="A206" s="1" t="s">
        <v>9</v>
      </c>
      <c r="B206" s="1" t="s">
        <v>66</v>
      </c>
      <c r="C206" s="1" t="s">
        <v>80</v>
      </c>
      <c r="D206" s="1" t="s">
        <v>122</v>
      </c>
      <c r="E206" s="1" t="s">
        <v>116</v>
      </c>
      <c r="F206" s="1" t="s">
        <v>12</v>
      </c>
      <c r="G206" s="1" t="n">
        <v>-14942</v>
      </c>
      <c r="H206" s="1" t="s">
        <v>13</v>
      </c>
    </row>
    <row r="207" customFormat="false" ht="15" hidden="false" customHeight="true" outlineLevel="0" collapsed="false">
      <c r="A207" s="1" t="s">
        <v>9</v>
      </c>
      <c r="B207" s="1" t="s">
        <v>66</v>
      </c>
      <c r="C207" s="1" t="s">
        <v>80</v>
      </c>
      <c r="D207" s="1" t="s">
        <v>122</v>
      </c>
      <c r="E207" s="1" t="s">
        <v>116</v>
      </c>
      <c r="F207" s="1" t="s">
        <v>12</v>
      </c>
      <c r="G207" s="1" t="n">
        <v>-5422</v>
      </c>
      <c r="H207" s="1" t="s">
        <v>13</v>
      </c>
    </row>
    <row r="208" customFormat="false" ht="15" hidden="false" customHeight="true" outlineLevel="0" collapsed="false">
      <c r="A208" s="1" t="s">
        <v>32</v>
      </c>
      <c r="B208" s="1" t="s">
        <v>47</v>
      </c>
      <c r="E208" s="1" t="s">
        <v>124</v>
      </c>
      <c r="F208" s="1" t="s">
        <v>18</v>
      </c>
      <c r="G208" s="1" t="n">
        <v>1001250</v>
      </c>
      <c r="H208" s="1" t="s">
        <v>13</v>
      </c>
    </row>
    <row r="209" customFormat="false" ht="15" hidden="false" customHeight="true" outlineLevel="0" collapsed="false">
      <c r="A209" s="1" t="s">
        <v>9</v>
      </c>
      <c r="B209" s="1" t="s">
        <v>47</v>
      </c>
      <c r="E209" s="1" t="s">
        <v>125</v>
      </c>
      <c r="F209" s="1" t="s">
        <v>18</v>
      </c>
      <c r="G209" s="1" t="n">
        <v>1001250</v>
      </c>
      <c r="H209" s="1" t="s">
        <v>13</v>
      </c>
    </row>
    <row r="210" customFormat="false" ht="15" hidden="false" customHeight="true" outlineLevel="0" collapsed="false">
      <c r="A210" s="1" t="s">
        <v>32</v>
      </c>
      <c r="B210" s="1" t="s">
        <v>29</v>
      </c>
      <c r="D210" s="1" t="s">
        <v>126</v>
      </c>
      <c r="E210" s="1" t="s">
        <v>127</v>
      </c>
      <c r="F210" s="1" t="s">
        <v>18</v>
      </c>
      <c r="G210" s="1" t="n">
        <v>121900</v>
      </c>
      <c r="H210" s="1" t="s">
        <v>13</v>
      </c>
    </row>
    <row r="211" customFormat="false" ht="15" hidden="false" customHeight="true" outlineLevel="0" collapsed="false">
      <c r="A211" s="1" t="s">
        <v>9</v>
      </c>
      <c r="B211" s="1" t="s">
        <v>66</v>
      </c>
      <c r="C211" s="1" t="s">
        <v>78</v>
      </c>
      <c r="D211" s="1" t="s">
        <v>128</v>
      </c>
      <c r="E211" s="1" t="s">
        <v>78</v>
      </c>
      <c r="F211" s="1" t="s">
        <v>12</v>
      </c>
      <c r="G211" s="1" t="n">
        <v>120000</v>
      </c>
      <c r="H211" s="1" t="s">
        <v>25</v>
      </c>
    </row>
    <row r="212" customFormat="false" ht="15" hidden="false" customHeight="true" outlineLevel="0" collapsed="false">
      <c r="A212" s="1" t="s">
        <v>9</v>
      </c>
      <c r="B212" s="1" t="s">
        <v>66</v>
      </c>
      <c r="C212" s="1" t="s">
        <v>83</v>
      </c>
      <c r="D212" s="1" t="s">
        <v>128</v>
      </c>
      <c r="E212" s="1" t="s">
        <v>84</v>
      </c>
      <c r="F212" s="1" t="s">
        <v>12</v>
      </c>
      <c r="G212" s="1" t="n">
        <v>10000</v>
      </c>
      <c r="H212" s="1" t="s">
        <v>13</v>
      </c>
    </row>
    <row r="213" customFormat="false" ht="15" hidden="false" customHeight="true" outlineLevel="0" collapsed="false">
      <c r="A213" s="1" t="s">
        <v>9</v>
      </c>
      <c r="B213" s="1" t="s">
        <v>66</v>
      </c>
      <c r="C213" s="1" t="s">
        <v>70</v>
      </c>
      <c r="D213" s="1" t="s">
        <v>128</v>
      </c>
      <c r="E213" s="1" t="s">
        <v>70</v>
      </c>
      <c r="F213" s="1" t="s">
        <v>12</v>
      </c>
      <c r="G213" s="1" t="n">
        <v>98000</v>
      </c>
      <c r="H213" s="1" t="s">
        <v>13</v>
      </c>
    </row>
    <row r="214" customFormat="false" ht="15" hidden="false" customHeight="true" outlineLevel="0" collapsed="false">
      <c r="A214" s="1" t="s">
        <v>9</v>
      </c>
      <c r="B214" s="1" t="s">
        <v>66</v>
      </c>
      <c r="C214" s="1" t="s">
        <v>67</v>
      </c>
      <c r="D214" s="1" t="s">
        <v>128</v>
      </c>
      <c r="E214" s="1" t="s">
        <v>67</v>
      </c>
      <c r="F214" s="1" t="s">
        <v>12</v>
      </c>
      <c r="G214" s="1" t="n">
        <v>201000</v>
      </c>
      <c r="H214" s="1" t="s">
        <v>13</v>
      </c>
    </row>
    <row r="215" customFormat="false" ht="15" hidden="false" customHeight="true" outlineLevel="0" collapsed="false">
      <c r="A215" s="1" t="s">
        <v>9</v>
      </c>
      <c r="B215" s="1" t="s">
        <v>66</v>
      </c>
      <c r="C215" s="1" t="s">
        <v>106</v>
      </c>
      <c r="D215" s="1" t="s">
        <v>128</v>
      </c>
      <c r="E215" s="1" t="s">
        <v>129</v>
      </c>
      <c r="F215" s="1" t="s">
        <v>12</v>
      </c>
      <c r="G215" s="1" t="n">
        <v>200000</v>
      </c>
      <c r="H215" s="1" t="s">
        <v>25</v>
      </c>
    </row>
    <row r="216" customFormat="false" ht="15" hidden="false" customHeight="true" outlineLevel="0" collapsed="false">
      <c r="A216" s="1" t="s">
        <v>9</v>
      </c>
      <c r="B216" s="1" t="s">
        <v>66</v>
      </c>
      <c r="C216" s="1" t="s">
        <v>80</v>
      </c>
      <c r="D216" s="1" t="s">
        <v>130</v>
      </c>
      <c r="E216" s="1" t="s">
        <v>80</v>
      </c>
      <c r="F216" s="1" t="s">
        <v>12</v>
      </c>
      <c r="G216" s="1" t="n">
        <v>42000</v>
      </c>
      <c r="H216" s="1" t="s">
        <v>13</v>
      </c>
    </row>
    <row r="217" customFormat="false" ht="15" hidden="false" customHeight="true" outlineLevel="0" collapsed="false">
      <c r="A217" s="1" t="s">
        <v>9</v>
      </c>
      <c r="B217" s="1" t="s">
        <v>66</v>
      </c>
      <c r="C217" s="1" t="s">
        <v>80</v>
      </c>
      <c r="D217" s="1" t="s">
        <v>130</v>
      </c>
      <c r="E217" s="1" t="s">
        <v>80</v>
      </c>
      <c r="F217" s="1" t="s">
        <v>12</v>
      </c>
      <c r="G217" s="1" t="n">
        <v>162000</v>
      </c>
      <c r="H217" s="1" t="s">
        <v>13</v>
      </c>
    </row>
    <row r="218" customFormat="false" ht="15" hidden="false" customHeight="true" outlineLevel="0" collapsed="false">
      <c r="A218" s="1" t="s">
        <v>9</v>
      </c>
      <c r="B218" s="1" t="s">
        <v>29</v>
      </c>
      <c r="D218" s="1" t="s">
        <v>130</v>
      </c>
      <c r="E218" s="1" t="s">
        <v>131</v>
      </c>
      <c r="F218" s="1" t="s">
        <v>18</v>
      </c>
      <c r="G218" s="1" t="n">
        <v>38000</v>
      </c>
      <c r="H218" s="1" t="s">
        <v>132</v>
      </c>
    </row>
    <row r="219" customFormat="false" ht="15" hidden="false" customHeight="true" outlineLevel="0" collapsed="false">
      <c r="A219" s="1" t="s">
        <v>9</v>
      </c>
      <c r="B219" s="1" t="s">
        <v>66</v>
      </c>
      <c r="C219" s="1" t="s">
        <v>78</v>
      </c>
      <c r="D219" s="1" t="s">
        <v>133</v>
      </c>
      <c r="E219" s="1" t="s">
        <v>78</v>
      </c>
      <c r="F219" s="1" t="s">
        <v>12</v>
      </c>
      <c r="G219" s="1" t="n">
        <v>120000</v>
      </c>
      <c r="H219" s="1" t="s">
        <v>25</v>
      </c>
    </row>
    <row r="220" customFormat="false" ht="15" hidden="false" customHeight="true" outlineLevel="0" collapsed="false">
      <c r="A220" s="1" t="s">
        <v>9</v>
      </c>
      <c r="B220" s="1" t="s">
        <v>66</v>
      </c>
      <c r="C220" s="1" t="s">
        <v>67</v>
      </c>
      <c r="D220" s="1" t="s">
        <v>134</v>
      </c>
      <c r="E220" s="1" t="s">
        <v>67</v>
      </c>
      <c r="F220" s="1" t="s">
        <v>12</v>
      </c>
      <c r="G220" s="1" t="n">
        <v>163000</v>
      </c>
      <c r="H220" s="1" t="s">
        <v>13</v>
      </c>
    </row>
    <row r="221" customFormat="false" ht="15" hidden="false" customHeight="true" outlineLevel="0" collapsed="false">
      <c r="A221" s="1" t="s">
        <v>39</v>
      </c>
      <c r="B221" s="1" t="s">
        <v>47</v>
      </c>
      <c r="D221" s="1" t="s">
        <v>135</v>
      </c>
      <c r="E221" s="1" t="s">
        <v>136</v>
      </c>
      <c r="F221" s="1" t="s">
        <v>18</v>
      </c>
      <c r="G221" s="1" t="n">
        <v>505932</v>
      </c>
      <c r="H221" s="1" t="s">
        <v>31</v>
      </c>
    </row>
    <row r="222" customFormat="false" ht="15" hidden="false" customHeight="true" outlineLevel="0" collapsed="false">
      <c r="A222" s="1" t="s">
        <v>40</v>
      </c>
      <c r="B222" s="1" t="s">
        <v>47</v>
      </c>
      <c r="D222" s="1" t="s">
        <v>137</v>
      </c>
      <c r="E222" s="1" t="s">
        <v>138</v>
      </c>
      <c r="F222" s="1" t="s">
        <v>12</v>
      </c>
      <c r="G222" s="1" t="n">
        <v>-35000</v>
      </c>
      <c r="H222" s="1" t="s">
        <v>31</v>
      </c>
    </row>
    <row r="223" customFormat="false" ht="15" hidden="false" customHeight="true" outlineLevel="0" collapsed="false">
      <c r="A223" s="1" t="s">
        <v>9</v>
      </c>
      <c r="B223" s="1" t="s">
        <v>47</v>
      </c>
      <c r="D223" s="1" t="s">
        <v>128</v>
      </c>
      <c r="E223" s="1" t="s">
        <v>139</v>
      </c>
      <c r="F223" s="1" t="s">
        <v>18</v>
      </c>
      <c r="G223" s="1" t="n">
        <v>811390</v>
      </c>
      <c r="H223" s="1" t="s">
        <v>51</v>
      </c>
    </row>
    <row r="224" customFormat="false" ht="15" hidden="false" customHeight="true" outlineLevel="0" collapsed="false">
      <c r="A224" s="1" t="s">
        <v>42</v>
      </c>
      <c r="B224" s="1" t="s">
        <v>29</v>
      </c>
      <c r="D224" s="1" t="s">
        <v>140</v>
      </c>
      <c r="E224" s="1" t="s">
        <v>127</v>
      </c>
      <c r="F224" s="1" t="s">
        <v>18</v>
      </c>
      <c r="G224" s="1" t="n">
        <v>122098</v>
      </c>
      <c r="H224" s="1" t="s">
        <v>13</v>
      </c>
    </row>
    <row r="225" customFormat="false" ht="15" hidden="false" customHeight="true" outlineLevel="0" collapsed="false">
      <c r="A225" s="1" t="s">
        <v>42</v>
      </c>
      <c r="B225" s="1" t="s">
        <v>27</v>
      </c>
      <c r="D225" s="1" t="s">
        <v>141</v>
      </c>
      <c r="E225" s="1" t="s">
        <v>142</v>
      </c>
      <c r="F225" s="1" t="s">
        <v>12</v>
      </c>
      <c r="G225" s="1" t="n">
        <v>356000</v>
      </c>
      <c r="H225" s="1" t="s">
        <v>13</v>
      </c>
    </row>
    <row r="226" customFormat="false" ht="15" hidden="false" customHeight="true" outlineLevel="0" collapsed="false">
      <c r="A226" s="1" t="s">
        <v>32</v>
      </c>
      <c r="B226" s="1" t="s">
        <v>29</v>
      </c>
      <c r="D226" s="1" t="s">
        <v>143</v>
      </c>
      <c r="E226" s="1" t="s">
        <v>144</v>
      </c>
      <c r="F226" s="1" t="s">
        <v>18</v>
      </c>
      <c r="G226" s="1" t="n">
        <v>161568</v>
      </c>
      <c r="H226" s="1" t="s">
        <v>31</v>
      </c>
    </row>
    <row r="227" customFormat="false" ht="15" hidden="false" customHeight="true" outlineLevel="0" collapsed="false">
      <c r="A227" s="1" t="s">
        <v>38</v>
      </c>
      <c r="B227" s="1" t="s">
        <v>66</v>
      </c>
      <c r="C227" s="1" t="s">
        <v>80</v>
      </c>
      <c r="D227" s="1" t="s">
        <v>145</v>
      </c>
      <c r="E227" s="1" t="s">
        <v>146</v>
      </c>
      <c r="F227" s="1" t="s">
        <v>12</v>
      </c>
      <c r="G227" s="1" t="n">
        <v>1492000</v>
      </c>
      <c r="H227" s="1" t="s">
        <v>31</v>
      </c>
    </row>
    <row r="228" customFormat="false" ht="15" hidden="false" customHeight="true" outlineLevel="0" collapsed="false">
      <c r="A228" s="1" t="s">
        <v>38</v>
      </c>
      <c r="B228" s="1" t="s">
        <v>66</v>
      </c>
      <c r="C228" s="1" t="s">
        <v>70</v>
      </c>
      <c r="D228" s="1" t="s">
        <v>145</v>
      </c>
      <c r="E228" s="1" t="s">
        <v>147</v>
      </c>
      <c r="F228" s="1" t="s">
        <v>12</v>
      </c>
      <c r="G228" s="1" t="n">
        <v>30000</v>
      </c>
      <c r="H228" s="1" t="s">
        <v>31</v>
      </c>
    </row>
    <row r="229" customFormat="false" ht="15" hidden="false" customHeight="true" outlineLevel="0" collapsed="false">
      <c r="A229" s="1" t="s">
        <v>38</v>
      </c>
      <c r="B229" s="1" t="s">
        <v>66</v>
      </c>
      <c r="C229" s="1" t="s">
        <v>80</v>
      </c>
      <c r="D229" s="1" t="s">
        <v>148</v>
      </c>
      <c r="E229" s="1" t="s">
        <v>149</v>
      </c>
      <c r="F229" s="1" t="s">
        <v>12</v>
      </c>
      <c r="G229" s="1" t="n">
        <v>108850</v>
      </c>
      <c r="H229" s="1" t="s">
        <v>31</v>
      </c>
    </row>
    <row r="230" customFormat="false" ht="15" hidden="false" customHeight="true" outlineLevel="0" collapsed="false">
      <c r="A230" s="1" t="s">
        <v>38</v>
      </c>
      <c r="B230" s="1" t="s">
        <v>66</v>
      </c>
      <c r="C230" s="1" t="s">
        <v>70</v>
      </c>
      <c r="D230" s="1" t="s">
        <v>148</v>
      </c>
      <c r="E230" s="1" t="s">
        <v>150</v>
      </c>
      <c r="F230" s="1" t="s">
        <v>12</v>
      </c>
      <c r="G230" s="1" t="n">
        <v>90000</v>
      </c>
      <c r="H230" s="1" t="s">
        <v>31</v>
      </c>
    </row>
    <row r="231" customFormat="false" ht="15" hidden="false" customHeight="true" outlineLevel="0" collapsed="false">
      <c r="A231" s="1" t="s">
        <v>38</v>
      </c>
      <c r="B231" s="1" t="s">
        <v>66</v>
      </c>
      <c r="C231" s="1" t="s">
        <v>95</v>
      </c>
      <c r="D231" s="1" t="s">
        <v>151</v>
      </c>
      <c r="E231" s="1" t="s">
        <v>95</v>
      </c>
      <c r="F231" s="1" t="s">
        <v>12</v>
      </c>
      <c r="G231" s="1" t="n">
        <v>61000</v>
      </c>
      <c r="H231" s="1" t="s">
        <v>31</v>
      </c>
    </row>
    <row r="232" customFormat="false" ht="15" hidden="false" customHeight="true" outlineLevel="0" collapsed="false">
      <c r="A232" s="1" t="s">
        <v>38</v>
      </c>
      <c r="B232" s="1" t="s">
        <v>66</v>
      </c>
      <c r="C232" s="1" t="s">
        <v>70</v>
      </c>
      <c r="D232" s="1" t="s">
        <v>151</v>
      </c>
      <c r="E232" s="1" t="s">
        <v>147</v>
      </c>
      <c r="F232" s="1" t="s">
        <v>12</v>
      </c>
      <c r="G232" s="1" t="n">
        <v>20000</v>
      </c>
      <c r="H232" s="1" t="s">
        <v>31</v>
      </c>
    </row>
    <row r="233" customFormat="false" ht="15" hidden="false" customHeight="true" outlineLevel="0" collapsed="false">
      <c r="A233" s="1" t="s">
        <v>39</v>
      </c>
      <c r="B233" s="1" t="s">
        <v>27</v>
      </c>
      <c r="D233" s="1" t="s">
        <v>152</v>
      </c>
      <c r="E233" s="1" t="s">
        <v>153</v>
      </c>
      <c r="F233" s="1" t="s">
        <v>12</v>
      </c>
      <c r="G233" s="1" t="n">
        <v>6733</v>
      </c>
      <c r="H233" s="1" t="s">
        <v>31</v>
      </c>
    </row>
    <row r="234" customFormat="false" ht="15" hidden="false" customHeight="true" outlineLevel="0" collapsed="false">
      <c r="A234" s="1" t="s">
        <v>42</v>
      </c>
      <c r="B234" s="1" t="s">
        <v>66</v>
      </c>
      <c r="C234" s="1" t="s">
        <v>67</v>
      </c>
      <c r="D234" s="1" t="s">
        <v>154</v>
      </c>
      <c r="E234" s="1" t="s">
        <v>69</v>
      </c>
      <c r="F234" s="1" t="s">
        <v>12</v>
      </c>
      <c r="G234" s="1" t="n">
        <v>134000</v>
      </c>
      <c r="H234" s="1" t="s">
        <v>13</v>
      </c>
    </row>
    <row r="235" customFormat="false" ht="15" hidden="false" customHeight="true" outlineLevel="0" collapsed="false">
      <c r="A235" s="1" t="s">
        <v>32</v>
      </c>
      <c r="B235" s="1" t="s">
        <v>66</v>
      </c>
      <c r="C235" s="1" t="s">
        <v>70</v>
      </c>
      <c r="D235" s="1" t="s">
        <v>155</v>
      </c>
      <c r="E235" s="1" t="s">
        <v>156</v>
      </c>
      <c r="F235" s="1" t="s">
        <v>12</v>
      </c>
      <c r="G235" s="1" t="n">
        <v>519563</v>
      </c>
      <c r="H235" s="1" t="s">
        <v>13</v>
      </c>
    </row>
    <row r="236" customFormat="false" ht="15" hidden="false" customHeight="true" outlineLevel="0" collapsed="false">
      <c r="A236" s="1" t="s">
        <v>32</v>
      </c>
      <c r="B236" s="1" t="s">
        <v>66</v>
      </c>
      <c r="C236" s="1" t="s">
        <v>70</v>
      </c>
      <c r="D236" s="1" t="s">
        <v>157</v>
      </c>
      <c r="E236" s="1" t="s">
        <v>158</v>
      </c>
      <c r="F236" s="1" t="s">
        <v>12</v>
      </c>
      <c r="G236" s="1" t="n">
        <v>135000</v>
      </c>
      <c r="H236" s="1" t="s">
        <v>13</v>
      </c>
    </row>
    <row r="237" customFormat="false" ht="15" hidden="false" customHeight="true" outlineLevel="0" collapsed="false">
      <c r="A237" s="1" t="s">
        <v>32</v>
      </c>
      <c r="B237" s="1" t="s">
        <v>66</v>
      </c>
      <c r="C237" s="1" t="s">
        <v>67</v>
      </c>
      <c r="D237" s="1" t="s">
        <v>157</v>
      </c>
      <c r="E237" s="1" t="s">
        <v>69</v>
      </c>
      <c r="F237" s="1" t="s">
        <v>12</v>
      </c>
      <c r="G237" s="1" t="n">
        <v>269500</v>
      </c>
      <c r="H237" s="1" t="s">
        <v>13</v>
      </c>
    </row>
    <row r="238" customFormat="false" ht="15" hidden="false" customHeight="true" outlineLevel="0" collapsed="false">
      <c r="A238" s="1" t="s">
        <v>32</v>
      </c>
      <c r="B238" s="1" t="s">
        <v>66</v>
      </c>
      <c r="C238" s="1" t="s">
        <v>80</v>
      </c>
      <c r="D238" s="1" t="s">
        <v>159</v>
      </c>
      <c r="E238" s="1" t="s">
        <v>80</v>
      </c>
      <c r="F238" s="1" t="s">
        <v>12</v>
      </c>
      <c r="G238" s="1" t="n">
        <v>708266</v>
      </c>
      <c r="H238" s="1" t="s">
        <v>13</v>
      </c>
    </row>
    <row r="239" customFormat="false" ht="15" hidden="false" customHeight="true" outlineLevel="0" collapsed="false">
      <c r="A239" s="1" t="s">
        <v>32</v>
      </c>
      <c r="B239" s="1" t="s">
        <v>66</v>
      </c>
      <c r="C239" s="1" t="s">
        <v>80</v>
      </c>
      <c r="D239" s="1" t="s">
        <v>159</v>
      </c>
      <c r="E239" s="1" t="s">
        <v>116</v>
      </c>
      <c r="F239" s="1" t="s">
        <v>12</v>
      </c>
      <c r="G239" s="1" t="n">
        <v>-141653</v>
      </c>
      <c r="H239" s="1" t="s">
        <v>13</v>
      </c>
    </row>
    <row r="240" customFormat="false" ht="15" hidden="false" customHeight="true" outlineLevel="0" collapsed="false">
      <c r="A240" s="1" t="s">
        <v>32</v>
      </c>
      <c r="B240" s="1" t="s">
        <v>27</v>
      </c>
      <c r="D240" s="1" t="s">
        <v>160</v>
      </c>
      <c r="E240" s="1" t="s">
        <v>153</v>
      </c>
      <c r="F240" s="1" t="s">
        <v>12</v>
      </c>
      <c r="G240" s="1" t="n">
        <v>124699</v>
      </c>
      <c r="H240" s="1" t="s">
        <v>13</v>
      </c>
    </row>
    <row r="241" customFormat="false" ht="15" hidden="false" customHeight="true" outlineLevel="0" collapsed="false">
      <c r="A241" s="1" t="s">
        <v>42</v>
      </c>
      <c r="B241" s="1" t="s">
        <v>161</v>
      </c>
      <c r="D241" s="1" t="s">
        <v>154</v>
      </c>
      <c r="E241" s="1" t="s">
        <v>162</v>
      </c>
      <c r="F241" s="1" t="s">
        <v>12</v>
      </c>
      <c r="G241" s="1" t="n">
        <v>4724610</v>
      </c>
      <c r="H241" s="1" t="s">
        <v>65</v>
      </c>
    </row>
    <row r="242" customFormat="false" ht="15" hidden="false" customHeight="true" outlineLevel="0" collapsed="false">
      <c r="A242" s="1" t="s">
        <v>42</v>
      </c>
      <c r="B242" s="1" t="s">
        <v>161</v>
      </c>
      <c r="D242" s="1" t="s">
        <v>163</v>
      </c>
      <c r="E242" s="1" t="s">
        <v>164</v>
      </c>
      <c r="F242" s="1" t="s">
        <v>12</v>
      </c>
      <c r="G242" s="1" t="n">
        <v>1545000</v>
      </c>
      <c r="H242" s="1" t="s">
        <v>65</v>
      </c>
    </row>
    <row r="243" customFormat="false" ht="15" hidden="false" customHeight="true" outlineLevel="0" collapsed="false">
      <c r="A243" s="1" t="s">
        <v>42</v>
      </c>
      <c r="B243" s="1" t="s">
        <v>161</v>
      </c>
      <c r="D243" s="1" t="s">
        <v>163</v>
      </c>
      <c r="E243" s="1" t="s">
        <v>165</v>
      </c>
      <c r="F243" s="1" t="s">
        <v>12</v>
      </c>
      <c r="G243" s="1" t="n">
        <v>2161949</v>
      </c>
      <c r="H243" s="1" t="s">
        <v>65</v>
      </c>
    </row>
    <row r="244" customFormat="false" ht="15" hidden="false" customHeight="true" outlineLevel="0" collapsed="false">
      <c r="A244" s="1" t="s">
        <v>42</v>
      </c>
      <c r="B244" s="1" t="s">
        <v>161</v>
      </c>
      <c r="D244" s="1" t="s">
        <v>163</v>
      </c>
      <c r="E244" s="1" t="s">
        <v>166</v>
      </c>
      <c r="F244" s="1" t="s">
        <v>12</v>
      </c>
      <c r="G244" s="1" t="n">
        <v>7869921</v>
      </c>
      <c r="H244" s="1" t="s">
        <v>65</v>
      </c>
    </row>
    <row r="245" customFormat="false" ht="15" hidden="false" customHeight="true" outlineLevel="0" collapsed="false">
      <c r="A245" s="1" t="s">
        <v>42</v>
      </c>
      <c r="B245" s="1" t="s">
        <v>161</v>
      </c>
      <c r="D245" s="1" t="s">
        <v>163</v>
      </c>
      <c r="E245" s="1" t="s">
        <v>166</v>
      </c>
      <c r="F245" s="1" t="s">
        <v>12</v>
      </c>
      <c r="G245" s="1" t="n">
        <v>7869921</v>
      </c>
      <c r="H245" s="1" t="s">
        <v>65</v>
      </c>
    </row>
    <row r="246" customFormat="false" ht="15" hidden="false" customHeight="true" outlineLevel="0" collapsed="false">
      <c r="A246" s="1" t="s">
        <v>42</v>
      </c>
      <c r="B246" s="1" t="s">
        <v>66</v>
      </c>
      <c r="C246" s="1" t="s">
        <v>167</v>
      </c>
      <c r="D246" s="1" t="s">
        <v>168</v>
      </c>
      <c r="E246" s="1" t="s">
        <v>169</v>
      </c>
      <c r="F246" s="1" t="s">
        <v>12</v>
      </c>
      <c r="G246" s="1" t="n">
        <v>171000</v>
      </c>
      <c r="H246" s="1" t="s">
        <v>65</v>
      </c>
    </row>
    <row r="247" customFormat="false" ht="15" hidden="false" customHeight="true" outlineLevel="0" collapsed="false">
      <c r="A247" s="1" t="s">
        <v>42</v>
      </c>
      <c r="B247" s="1" t="s">
        <v>66</v>
      </c>
      <c r="C247" s="1" t="s">
        <v>80</v>
      </c>
      <c r="D247" s="1" t="s">
        <v>163</v>
      </c>
      <c r="E247" s="1" t="s">
        <v>80</v>
      </c>
      <c r="F247" s="1" t="s">
        <v>12</v>
      </c>
      <c r="G247" s="1" t="n">
        <v>745373</v>
      </c>
      <c r="H247" s="1" t="s">
        <v>65</v>
      </c>
    </row>
    <row r="248" customFormat="false" ht="15" hidden="false" customHeight="true" outlineLevel="0" collapsed="false">
      <c r="A248" s="1" t="s">
        <v>42</v>
      </c>
      <c r="B248" s="1" t="s">
        <v>66</v>
      </c>
      <c r="C248" s="1" t="s">
        <v>80</v>
      </c>
      <c r="D248" s="1" t="s">
        <v>163</v>
      </c>
      <c r="E248" s="1" t="s">
        <v>80</v>
      </c>
      <c r="F248" s="1" t="s">
        <v>12</v>
      </c>
      <c r="G248" s="1" t="n">
        <v>136317</v>
      </c>
      <c r="H248" s="1" t="s">
        <v>65</v>
      </c>
    </row>
    <row r="249" customFormat="false" ht="15" hidden="false" customHeight="true" outlineLevel="0" collapsed="false">
      <c r="A249" s="1" t="s">
        <v>42</v>
      </c>
      <c r="B249" s="1" t="s">
        <v>66</v>
      </c>
      <c r="C249" s="1" t="s">
        <v>167</v>
      </c>
      <c r="D249" s="1" t="s">
        <v>163</v>
      </c>
      <c r="E249" s="1" t="s">
        <v>170</v>
      </c>
      <c r="F249" s="1" t="s">
        <v>12</v>
      </c>
      <c r="G249" s="1" t="n">
        <v>167775</v>
      </c>
      <c r="H249" s="1" t="s">
        <v>65</v>
      </c>
    </row>
    <row r="250" customFormat="false" ht="15" hidden="false" customHeight="true" outlineLevel="0" collapsed="false">
      <c r="A250" s="1" t="s">
        <v>32</v>
      </c>
      <c r="B250" s="1" t="s">
        <v>66</v>
      </c>
      <c r="C250" s="1" t="s">
        <v>70</v>
      </c>
      <c r="D250" s="1" t="s">
        <v>171</v>
      </c>
      <c r="E250" s="1" t="s">
        <v>172</v>
      </c>
      <c r="F250" s="1" t="s">
        <v>12</v>
      </c>
      <c r="G250" s="1" t="n">
        <v>158000</v>
      </c>
      <c r="H250" s="1" t="s">
        <v>65</v>
      </c>
    </row>
    <row r="251" customFormat="false" ht="15" hidden="false" customHeight="true" outlineLevel="0" collapsed="false">
      <c r="A251" s="1" t="s">
        <v>32</v>
      </c>
      <c r="B251" s="1" t="s">
        <v>66</v>
      </c>
      <c r="C251" s="1" t="s">
        <v>90</v>
      </c>
      <c r="D251" s="1" t="s">
        <v>173</v>
      </c>
      <c r="E251" s="1" t="s">
        <v>174</v>
      </c>
      <c r="F251" s="1" t="s">
        <v>12</v>
      </c>
      <c r="G251" s="1" t="n">
        <v>303784</v>
      </c>
      <c r="H251" s="1" t="s">
        <v>65</v>
      </c>
    </row>
    <row r="252" customFormat="false" ht="15" hidden="false" customHeight="true" outlineLevel="0" collapsed="false">
      <c r="A252" s="1" t="s">
        <v>42</v>
      </c>
      <c r="B252" s="1" t="s">
        <v>66</v>
      </c>
      <c r="C252" s="1" t="s">
        <v>80</v>
      </c>
      <c r="D252" s="1" t="s">
        <v>163</v>
      </c>
      <c r="E252" s="1" t="s">
        <v>116</v>
      </c>
      <c r="F252" s="1" t="s">
        <v>12</v>
      </c>
      <c r="G252" s="1" t="n">
        <v>-223612</v>
      </c>
      <c r="H252" s="1" t="s">
        <v>65</v>
      </c>
    </row>
    <row r="253" customFormat="false" ht="15" hidden="false" customHeight="true" outlineLevel="0" collapsed="false">
      <c r="A253" s="1" t="s">
        <v>42</v>
      </c>
      <c r="B253" s="1" t="s">
        <v>66</v>
      </c>
      <c r="C253" s="1" t="s">
        <v>80</v>
      </c>
      <c r="D253" s="1" t="s">
        <v>163</v>
      </c>
      <c r="E253" s="1" t="s">
        <v>116</v>
      </c>
      <c r="F253" s="1" t="s">
        <v>12</v>
      </c>
      <c r="G253" s="1" t="n">
        <v>-40895</v>
      </c>
      <c r="H253" s="1" t="s">
        <v>65</v>
      </c>
    </row>
    <row r="254" customFormat="false" ht="15" hidden="false" customHeight="true" outlineLevel="0" collapsed="false">
      <c r="A254" s="1" t="s">
        <v>36</v>
      </c>
      <c r="B254" s="1" t="s">
        <v>66</v>
      </c>
      <c r="C254" s="1" t="s">
        <v>83</v>
      </c>
      <c r="D254" s="1" t="s">
        <v>175</v>
      </c>
      <c r="E254" s="1" t="s">
        <v>93</v>
      </c>
      <c r="F254" s="1" t="s">
        <v>12</v>
      </c>
      <c r="G254" s="1" t="n">
        <v>12193</v>
      </c>
      <c r="H254" s="1" t="s">
        <v>31</v>
      </c>
    </row>
    <row r="255" customFormat="false" ht="15" hidden="false" customHeight="true" outlineLevel="0" collapsed="false">
      <c r="A255" s="1" t="s">
        <v>36</v>
      </c>
      <c r="B255" s="1" t="s">
        <v>66</v>
      </c>
      <c r="C255" s="1" t="s">
        <v>83</v>
      </c>
      <c r="D255" s="1" t="s">
        <v>176</v>
      </c>
      <c r="E255" s="1" t="s">
        <v>93</v>
      </c>
      <c r="F255" s="1" t="s">
        <v>12</v>
      </c>
      <c r="G255" s="1" t="n">
        <v>16142</v>
      </c>
      <c r="H255" s="1" t="s">
        <v>31</v>
      </c>
    </row>
    <row r="256" customFormat="false" ht="15" hidden="false" customHeight="true" outlineLevel="0" collapsed="false">
      <c r="A256" s="1" t="s">
        <v>36</v>
      </c>
      <c r="B256" s="1" t="s">
        <v>66</v>
      </c>
      <c r="C256" s="1" t="s">
        <v>83</v>
      </c>
      <c r="D256" s="1" t="s">
        <v>176</v>
      </c>
      <c r="E256" s="1" t="s">
        <v>93</v>
      </c>
      <c r="F256" s="1" t="s">
        <v>12</v>
      </c>
      <c r="G256" s="1" t="n">
        <v>18263</v>
      </c>
      <c r="H256" s="1" t="s">
        <v>31</v>
      </c>
    </row>
    <row r="257" customFormat="false" ht="15" hidden="false" customHeight="true" outlineLevel="0" collapsed="false">
      <c r="A257" s="1" t="s">
        <v>36</v>
      </c>
      <c r="B257" s="1" t="s">
        <v>66</v>
      </c>
      <c r="C257" s="1" t="s">
        <v>83</v>
      </c>
      <c r="D257" s="1" t="s">
        <v>177</v>
      </c>
      <c r="E257" s="1" t="s">
        <v>93</v>
      </c>
      <c r="F257" s="1" t="s">
        <v>12</v>
      </c>
      <c r="G257" s="1" t="n">
        <v>17217</v>
      </c>
      <c r="H257" s="1" t="s">
        <v>31</v>
      </c>
    </row>
    <row r="258" customFormat="false" ht="15" hidden="false" customHeight="true" outlineLevel="0" collapsed="false">
      <c r="A258" s="1" t="s">
        <v>36</v>
      </c>
      <c r="B258" s="1" t="s">
        <v>66</v>
      </c>
      <c r="C258" s="1" t="s">
        <v>83</v>
      </c>
      <c r="D258" s="1" t="s">
        <v>177</v>
      </c>
      <c r="E258" s="1" t="s">
        <v>93</v>
      </c>
      <c r="F258" s="1" t="s">
        <v>12</v>
      </c>
      <c r="G258" s="1" t="n">
        <v>18237</v>
      </c>
      <c r="H258" s="1" t="s">
        <v>31</v>
      </c>
    </row>
    <row r="259" customFormat="false" ht="15" hidden="false" customHeight="true" outlineLevel="0" collapsed="false">
      <c r="A259" s="1" t="s">
        <v>36</v>
      </c>
      <c r="B259" s="1" t="s">
        <v>66</v>
      </c>
      <c r="C259" s="1" t="s">
        <v>83</v>
      </c>
      <c r="D259" s="1" t="s">
        <v>178</v>
      </c>
      <c r="E259" s="1" t="s">
        <v>93</v>
      </c>
      <c r="F259" s="1" t="s">
        <v>12</v>
      </c>
      <c r="G259" s="1" t="n">
        <v>17289</v>
      </c>
      <c r="H259" s="1" t="s">
        <v>31</v>
      </c>
    </row>
    <row r="260" customFormat="false" ht="15" hidden="false" customHeight="true" outlineLevel="0" collapsed="false">
      <c r="A260" s="1" t="s">
        <v>36</v>
      </c>
      <c r="B260" s="1" t="s">
        <v>66</v>
      </c>
      <c r="C260" s="1" t="s">
        <v>83</v>
      </c>
      <c r="D260" s="1" t="s">
        <v>178</v>
      </c>
      <c r="E260" s="1" t="s">
        <v>93</v>
      </c>
      <c r="F260" s="1" t="s">
        <v>12</v>
      </c>
      <c r="G260" s="1" t="n">
        <v>18306</v>
      </c>
      <c r="H260" s="1" t="s">
        <v>31</v>
      </c>
    </row>
    <row r="261" customFormat="false" ht="15" hidden="false" customHeight="true" outlineLevel="0" collapsed="false">
      <c r="A261" s="1" t="s">
        <v>36</v>
      </c>
      <c r="B261" s="1" t="s">
        <v>66</v>
      </c>
      <c r="C261" s="1" t="s">
        <v>167</v>
      </c>
      <c r="D261" s="1" t="s">
        <v>179</v>
      </c>
      <c r="E261" s="1" t="s">
        <v>170</v>
      </c>
      <c r="F261" s="1" t="s">
        <v>12</v>
      </c>
      <c r="G261" s="1" t="n">
        <v>125000</v>
      </c>
      <c r="H261" s="1" t="s">
        <v>31</v>
      </c>
    </row>
    <row r="262" customFormat="false" ht="15" hidden="false" customHeight="true" outlineLevel="0" collapsed="false">
      <c r="A262" s="1" t="s">
        <v>36</v>
      </c>
      <c r="B262" s="1" t="s">
        <v>66</v>
      </c>
      <c r="C262" s="1" t="s">
        <v>70</v>
      </c>
      <c r="D262" s="1" t="s">
        <v>176</v>
      </c>
      <c r="E262" s="1" t="s">
        <v>180</v>
      </c>
      <c r="F262" s="1" t="s">
        <v>12</v>
      </c>
      <c r="G262" s="1" t="n">
        <v>400000</v>
      </c>
      <c r="H262" s="1" t="s">
        <v>31</v>
      </c>
    </row>
    <row r="263" customFormat="false" ht="15" hidden="false" customHeight="true" outlineLevel="0" collapsed="false">
      <c r="A263" s="1" t="s">
        <v>36</v>
      </c>
      <c r="B263" s="1" t="s">
        <v>27</v>
      </c>
      <c r="D263" s="1" t="s">
        <v>178</v>
      </c>
      <c r="E263" s="1" t="s">
        <v>153</v>
      </c>
      <c r="F263" s="1" t="s">
        <v>12</v>
      </c>
      <c r="G263" s="1" t="n">
        <v>10097</v>
      </c>
      <c r="H263" s="1" t="s">
        <v>31</v>
      </c>
    </row>
    <row r="264" customFormat="false" ht="15" hidden="false" customHeight="true" outlineLevel="0" collapsed="false">
      <c r="A264" s="1" t="s">
        <v>41</v>
      </c>
      <c r="B264" s="1" t="s">
        <v>29</v>
      </c>
      <c r="D264" s="1" t="s">
        <v>181</v>
      </c>
      <c r="E264" s="1" t="s">
        <v>182</v>
      </c>
      <c r="F264" s="1" t="s">
        <v>18</v>
      </c>
      <c r="G264" s="1" t="n">
        <v>137500</v>
      </c>
      <c r="H264" s="1" t="s">
        <v>31</v>
      </c>
    </row>
    <row r="265" customFormat="false" ht="15" hidden="false" customHeight="true" outlineLevel="0" collapsed="false">
      <c r="A265" s="1" t="s">
        <v>41</v>
      </c>
      <c r="B265" s="1" t="s">
        <v>29</v>
      </c>
      <c r="D265" s="1" t="s">
        <v>183</v>
      </c>
      <c r="E265" s="1" t="s">
        <v>184</v>
      </c>
      <c r="F265" s="1" t="s">
        <v>18</v>
      </c>
      <c r="G265" s="1" t="n">
        <v>33825</v>
      </c>
      <c r="H265" s="1" t="s">
        <v>31</v>
      </c>
    </row>
    <row r="266" customFormat="false" ht="15" hidden="false" customHeight="true" outlineLevel="0" collapsed="false">
      <c r="A266" s="1" t="s">
        <v>41</v>
      </c>
      <c r="B266" s="1" t="s">
        <v>66</v>
      </c>
      <c r="C266" s="1" t="s">
        <v>67</v>
      </c>
      <c r="D266" s="1" t="s">
        <v>181</v>
      </c>
      <c r="E266" s="1" t="s">
        <v>69</v>
      </c>
      <c r="F266" s="1" t="s">
        <v>12</v>
      </c>
      <c r="G266" s="1" t="n">
        <v>133900</v>
      </c>
      <c r="H266" s="1" t="s">
        <v>31</v>
      </c>
    </row>
    <row r="267" customFormat="false" ht="15" hidden="false" customHeight="true" outlineLevel="0" collapsed="false">
      <c r="A267" s="1" t="s">
        <v>41</v>
      </c>
      <c r="B267" s="1" t="s">
        <v>66</v>
      </c>
      <c r="C267" s="1" t="s">
        <v>67</v>
      </c>
      <c r="D267" s="1" t="s">
        <v>185</v>
      </c>
      <c r="E267" s="1" t="s">
        <v>69</v>
      </c>
      <c r="F267" s="1" t="s">
        <v>12</v>
      </c>
      <c r="G267" s="1" t="n">
        <v>158000</v>
      </c>
      <c r="H267" s="1" t="s">
        <v>31</v>
      </c>
    </row>
    <row r="268" customFormat="false" ht="15" hidden="false" customHeight="true" outlineLevel="0" collapsed="false">
      <c r="A268" s="1" t="s">
        <v>41</v>
      </c>
      <c r="B268" s="1" t="s">
        <v>66</v>
      </c>
      <c r="C268" s="1" t="s">
        <v>167</v>
      </c>
      <c r="D268" s="1" t="s">
        <v>186</v>
      </c>
      <c r="E268" s="1" t="s">
        <v>187</v>
      </c>
      <c r="F268" s="1" t="s">
        <v>12</v>
      </c>
      <c r="G268" s="1" t="n">
        <v>77000</v>
      </c>
      <c r="H268" s="1" t="s">
        <v>31</v>
      </c>
    </row>
    <row r="269" customFormat="false" ht="15" hidden="false" customHeight="true" outlineLevel="0" collapsed="false">
      <c r="A269" s="1" t="s">
        <v>41</v>
      </c>
      <c r="B269" s="1" t="s">
        <v>66</v>
      </c>
      <c r="C269" s="1" t="s">
        <v>67</v>
      </c>
      <c r="D269" s="1" t="s">
        <v>183</v>
      </c>
      <c r="E269" s="1" t="s">
        <v>69</v>
      </c>
      <c r="F269" s="1" t="s">
        <v>12</v>
      </c>
      <c r="G269" s="1" t="n">
        <v>214000</v>
      </c>
      <c r="H269" s="1" t="s">
        <v>31</v>
      </c>
    </row>
    <row r="270" customFormat="false" ht="15" hidden="false" customHeight="true" outlineLevel="0" collapsed="false">
      <c r="A270" s="1" t="s">
        <v>42</v>
      </c>
      <c r="B270" s="1" t="s">
        <v>66</v>
      </c>
      <c r="C270" s="1" t="s">
        <v>70</v>
      </c>
      <c r="D270" s="1" t="s">
        <v>188</v>
      </c>
      <c r="E270" s="1" t="s">
        <v>189</v>
      </c>
      <c r="F270" s="1" t="s">
        <v>12</v>
      </c>
      <c r="G270" s="1" t="n">
        <v>160000</v>
      </c>
      <c r="H270" s="1" t="s">
        <v>13</v>
      </c>
    </row>
    <row r="271" customFormat="false" ht="15" hidden="false" customHeight="true" outlineLevel="0" collapsed="false">
      <c r="A271" s="1" t="s">
        <v>42</v>
      </c>
      <c r="B271" s="1" t="s">
        <v>66</v>
      </c>
      <c r="C271" s="1" t="s">
        <v>70</v>
      </c>
      <c r="D271" s="1" t="s">
        <v>190</v>
      </c>
      <c r="E271" s="1" t="s">
        <v>156</v>
      </c>
      <c r="F271" s="1" t="s">
        <v>12</v>
      </c>
      <c r="G271" s="1" t="n">
        <v>495727</v>
      </c>
      <c r="H271" s="1" t="s">
        <v>13</v>
      </c>
    </row>
    <row r="272" customFormat="false" ht="15" hidden="false" customHeight="true" outlineLevel="0" collapsed="false">
      <c r="A272" s="1" t="s">
        <v>42</v>
      </c>
      <c r="B272" s="1" t="s">
        <v>27</v>
      </c>
      <c r="D272" s="1" t="s">
        <v>190</v>
      </c>
      <c r="E272" s="1" t="s">
        <v>153</v>
      </c>
      <c r="F272" s="1" t="s">
        <v>12</v>
      </c>
      <c r="G272" s="1" t="n">
        <v>40451</v>
      </c>
      <c r="H272" s="1" t="s">
        <v>13</v>
      </c>
    </row>
    <row r="273" customFormat="false" ht="15" hidden="false" customHeight="true" outlineLevel="0" collapsed="false">
      <c r="A273" s="1" t="s">
        <v>42</v>
      </c>
      <c r="B273" s="1" t="s">
        <v>66</v>
      </c>
      <c r="C273" s="1" t="s">
        <v>167</v>
      </c>
      <c r="D273" s="1" t="s">
        <v>140</v>
      </c>
      <c r="E273" s="1" t="s">
        <v>191</v>
      </c>
      <c r="F273" s="1" t="s">
        <v>12</v>
      </c>
      <c r="G273" s="1" t="n">
        <v>338074</v>
      </c>
      <c r="H273" s="1" t="s">
        <v>65</v>
      </c>
    </row>
    <row r="274" customFormat="false" ht="15" hidden="false" customHeight="true" outlineLevel="0" collapsed="false">
      <c r="A274" s="1" t="s">
        <v>42</v>
      </c>
      <c r="B274" s="1" t="s">
        <v>66</v>
      </c>
      <c r="C274" s="1" t="s">
        <v>80</v>
      </c>
      <c r="D274" s="1" t="s">
        <v>190</v>
      </c>
      <c r="E274" s="1" t="s">
        <v>192</v>
      </c>
      <c r="F274" s="1" t="s">
        <v>12</v>
      </c>
      <c r="G274" s="1" t="n">
        <v>53700</v>
      </c>
      <c r="H274" s="1" t="s">
        <v>65</v>
      </c>
    </row>
    <row r="275" customFormat="false" ht="15" hidden="false" customHeight="true" outlineLevel="0" collapsed="false">
      <c r="A275" s="1" t="s">
        <v>42</v>
      </c>
      <c r="B275" s="1" t="s">
        <v>66</v>
      </c>
      <c r="C275" s="1" t="s">
        <v>167</v>
      </c>
      <c r="D275" s="1" t="s">
        <v>140</v>
      </c>
      <c r="E275" s="1" t="s">
        <v>193</v>
      </c>
      <c r="F275" s="1" t="s">
        <v>12</v>
      </c>
      <c r="G275" s="1" t="n">
        <v>-50711</v>
      </c>
      <c r="H275" s="1" t="s">
        <v>65</v>
      </c>
    </row>
    <row r="276" customFormat="false" ht="15" hidden="false" customHeight="true" outlineLevel="0" collapsed="false">
      <c r="A276" s="1" t="s">
        <v>40</v>
      </c>
      <c r="B276" s="1" t="s">
        <v>66</v>
      </c>
      <c r="C276" s="1" t="s">
        <v>167</v>
      </c>
      <c r="D276" s="1" t="s">
        <v>194</v>
      </c>
      <c r="E276" s="1" t="s">
        <v>195</v>
      </c>
      <c r="F276" s="1" t="s">
        <v>12</v>
      </c>
      <c r="G276" s="1" t="n">
        <v>147440</v>
      </c>
      <c r="H276" s="1" t="s">
        <v>31</v>
      </c>
    </row>
    <row r="277" customFormat="false" ht="15" hidden="false" customHeight="true" outlineLevel="0" collapsed="false">
      <c r="A277" s="1" t="s">
        <v>40</v>
      </c>
      <c r="B277" s="1" t="s">
        <v>66</v>
      </c>
      <c r="C277" s="1" t="s">
        <v>70</v>
      </c>
      <c r="D277" s="1" t="s">
        <v>196</v>
      </c>
      <c r="E277" s="1" t="s">
        <v>197</v>
      </c>
      <c r="F277" s="1" t="s">
        <v>12</v>
      </c>
      <c r="G277" s="1" t="n">
        <v>106000</v>
      </c>
      <c r="H277" s="1" t="s">
        <v>31</v>
      </c>
    </row>
    <row r="278" customFormat="false" ht="15" hidden="false" customHeight="true" outlineLevel="0" collapsed="false">
      <c r="A278" s="1" t="s">
        <v>40</v>
      </c>
      <c r="B278" s="1" t="s">
        <v>66</v>
      </c>
      <c r="C278" s="1" t="s">
        <v>80</v>
      </c>
      <c r="D278" s="1" t="s">
        <v>198</v>
      </c>
      <c r="E278" s="1" t="s">
        <v>199</v>
      </c>
      <c r="F278" s="1" t="s">
        <v>12</v>
      </c>
      <c r="G278" s="1" t="n">
        <v>788596</v>
      </c>
      <c r="H278" s="1" t="s">
        <v>31</v>
      </c>
    </row>
    <row r="279" customFormat="false" ht="15" hidden="false" customHeight="true" outlineLevel="0" collapsed="false">
      <c r="A279" s="1" t="s">
        <v>40</v>
      </c>
      <c r="B279" s="1" t="s">
        <v>66</v>
      </c>
      <c r="C279" s="1" t="s">
        <v>70</v>
      </c>
      <c r="D279" s="1" t="s">
        <v>198</v>
      </c>
      <c r="E279" s="1" t="s">
        <v>200</v>
      </c>
      <c r="F279" s="1" t="s">
        <v>12</v>
      </c>
      <c r="G279" s="1" t="n">
        <v>171000</v>
      </c>
      <c r="H279" s="1" t="s">
        <v>31</v>
      </c>
    </row>
    <row r="280" customFormat="false" ht="15" hidden="false" customHeight="true" outlineLevel="0" collapsed="false">
      <c r="A280" s="1" t="s">
        <v>40</v>
      </c>
      <c r="B280" s="1" t="s">
        <v>66</v>
      </c>
      <c r="C280" s="1" t="s">
        <v>67</v>
      </c>
      <c r="D280" s="1" t="s">
        <v>201</v>
      </c>
      <c r="E280" s="1" t="s">
        <v>69</v>
      </c>
      <c r="F280" s="1" t="s">
        <v>12</v>
      </c>
      <c r="G280" s="1" t="n">
        <v>266500</v>
      </c>
      <c r="H280" s="1" t="s">
        <v>31</v>
      </c>
    </row>
    <row r="281" customFormat="false" ht="15" hidden="false" customHeight="true" outlineLevel="0" collapsed="false">
      <c r="A281" s="1" t="s">
        <v>41</v>
      </c>
      <c r="B281" s="1" t="s">
        <v>66</v>
      </c>
      <c r="C281" s="1" t="s">
        <v>100</v>
      </c>
      <c r="D281" s="1" t="s">
        <v>202</v>
      </c>
      <c r="E281" s="1" t="s">
        <v>203</v>
      </c>
      <c r="F281" s="1" t="s">
        <v>12</v>
      </c>
      <c r="G281" s="1" t="n">
        <v>1260000</v>
      </c>
      <c r="H281" s="1" t="s">
        <v>31</v>
      </c>
    </row>
    <row r="282" customFormat="false" ht="15" hidden="false" customHeight="true" outlineLevel="0" collapsed="false">
      <c r="A282" s="1" t="s">
        <v>40</v>
      </c>
      <c r="B282" s="1" t="s">
        <v>66</v>
      </c>
      <c r="C282" s="1" t="s">
        <v>80</v>
      </c>
      <c r="D282" s="1" t="s">
        <v>198</v>
      </c>
      <c r="E282" s="1" t="s">
        <v>116</v>
      </c>
      <c r="F282" s="1" t="s">
        <v>12</v>
      </c>
      <c r="G282" s="1" t="n">
        <v>-157719</v>
      </c>
      <c r="H282" s="1" t="s">
        <v>31</v>
      </c>
    </row>
    <row r="283" customFormat="false" ht="15" hidden="false" customHeight="true" outlineLevel="0" collapsed="false">
      <c r="A283" s="1" t="s">
        <v>41</v>
      </c>
      <c r="B283" s="1" t="s">
        <v>27</v>
      </c>
      <c r="D283" s="1" t="s">
        <v>204</v>
      </c>
      <c r="E283" s="1" t="s">
        <v>153</v>
      </c>
      <c r="F283" s="1" t="s">
        <v>12</v>
      </c>
      <c r="G283" s="1" t="n">
        <v>28885</v>
      </c>
      <c r="H283" s="1" t="s">
        <v>31</v>
      </c>
    </row>
    <row r="284" customFormat="false" ht="15" hidden="false" customHeight="true" outlineLevel="0" collapsed="false">
      <c r="A284" s="1" t="s">
        <v>36</v>
      </c>
      <c r="B284" s="1" t="s">
        <v>66</v>
      </c>
      <c r="C284" s="1" t="s">
        <v>83</v>
      </c>
      <c r="D284" s="1" t="s">
        <v>205</v>
      </c>
      <c r="E284" s="1" t="s">
        <v>93</v>
      </c>
      <c r="F284" s="1" t="s">
        <v>12</v>
      </c>
      <c r="G284" s="1" t="n">
        <v>16128</v>
      </c>
      <c r="H284" s="1" t="s">
        <v>31</v>
      </c>
    </row>
    <row r="285" customFormat="false" ht="15" hidden="false" customHeight="true" outlineLevel="0" collapsed="false">
      <c r="A285" s="1" t="s">
        <v>36</v>
      </c>
      <c r="B285" s="1" t="s">
        <v>66</v>
      </c>
      <c r="C285" s="1" t="s">
        <v>83</v>
      </c>
      <c r="D285" s="1" t="s">
        <v>206</v>
      </c>
      <c r="E285" s="1" t="s">
        <v>93</v>
      </c>
      <c r="F285" s="1" t="s">
        <v>12</v>
      </c>
      <c r="G285" s="1" t="n">
        <v>20280</v>
      </c>
      <c r="H285" s="1" t="s">
        <v>31</v>
      </c>
    </row>
    <row r="286" customFormat="false" ht="15" hidden="false" customHeight="true" outlineLevel="0" collapsed="false">
      <c r="A286" s="1" t="s">
        <v>36</v>
      </c>
      <c r="B286" s="1" t="s">
        <v>66</v>
      </c>
      <c r="C286" s="1" t="s">
        <v>83</v>
      </c>
      <c r="D286" s="1" t="s">
        <v>206</v>
      </c>
      <c r="E286" s="1" t="s">
        <v>93</v>
      </c>
      <c r="F286" s="1" t="s">
        <v>12</v>
      </c>
      <c r="G286" s="1" t="n">
        <v>18252</v>
      </c>
      <c r="H286" s="1" t="s">
        <v>31</v>
      </c>
    </row>
    <row r="287" customFormat="false" ht="15" hidden="false" customHeight="true" outlineLevel="0" collapsed="false">
      <c r="A287" s="1" t="s">
        <v>36</v>
      </c>
      <c r="B287" s="1" t="s">
        <v>66</v>
      </c>
      <c r="C287" s="1" t="s">
        <v>83</v>
      </c>
      <c r="D287" s="1" t="s">
        <v>206</v>
      </c>
      <c r="E287" s="1" t="s">
        <v>93</v>
      </c>
      <c r="F287" s="1" t="s">
        <v>12</v>
      </c>
      <c r="G287" s="1" t="n">
        <v>17238</v>
      </c>
      <c r="H287" s="1" t="s">
        <v>31</v>
      </c>
    </row>
    <row r="288" customFormat="false" ht="15" hidden="false" customHeight="true" outlineLevel="0" collapsed="false">
      <c r="A288" s="1" t="s">
        <v>36</v>
      </c>
      <c r="B288" s="1" t="s">
        <v>66</v>
      </c>
      <c r="C288" s="1" t="s">
        <v>83</v>
      </c>
      <c r="D288" s="1" t="s">
        <v>206</v>
      </c>
      <c r="E288" s="1" t="s">
        <v>93</v>
      </c>
      <c r="F288" s="1" t="s">
        <v>12</v>
      </c>
      <c r="G288" s="1" t="n">
        <v>18252</v>
      </c>
      <c r="H288" s="1" t="s">
        <v>31</v>
      </c>
    </row>
    <row r="289" customFormat="false" ht="15" hidden="false" customHeight="true" outlineLevel="0" collapsed="false">
      <c r="A289" s="1" t="s">
        <v>36</v>
      </c>
      <c r="B289" s="1" t="s">
        <v>66</v>
      </c>
      <c r="C289" s="1" t="s">
        <v>83</v>
      </c>
      <c r="D289" s="1" t="s">
        <v>207</v>
      </c>
      <c r="E289" s="1" t="s">
        <v>93</v>
      </c>
      <c r="F289" s="1" t="s">
        <v>12</v>
      </c>
      <c r="G289" s="1" t="n">
        <v>16136</v>
      </c>
      <c r="H289" s="1" t="s">
        <v>31</v>
      </c>
    </row>
    <row r="290" customFormat="false" ht="15" hidden="false" customHeight="true" outlineLevel="0" collapsed="false">
      <c r="A290" s="1" t="s">
        <v>36</v>
      </c>
      <c r="B290" s="1" t="s">
        <v>66</v>
      </c>
      <c r="C290" s="1" t="s">
        <v>83</v>
      </c>
      <c r="D290" s="1" t="s">
        <v>208</v>
      </c>
      <c r="E290" s="1" t="s">
        <v>93</v>
      </c>
      <c r="F290" s="1" t="s">
        <v>12</v>
      </c>
      <c r="G290" s="1" t="n">
        <v>26510</v>
      </c>
      <c r="H290" s="1" t="s">
        <v>31</v>
      </c>
    </row>
    <row r="291" customFormat="false" ht="15" hidden="false" customHeight="true" outlineLevel="0" collapsed="false">
      <c r="A291" s="1" t="s">
        <v>36</v>
      </c>
      <c r="B291" s="1" t="s">
        <v>66</v>
      </c>
      <c r="C291" s="1" t="s">
        <v>83</v>
      </c>
      <c r="D291" s="1" t="s">
        <v>206</v>
      </c>
      <c r="E291" s="1" t="s">
        <v>209</v>
      </c>
      <c r="F291" s="1" t="s">
        <v>12</v>
      </c>
      <c r="G291" s="1" t="n">
        <v>688000</v>
      </c>
      <c r="H291" s="1" t="s">
        <v>31</v>
      </c>
    </row>
    <row r="292" customFormat="false" ht="15" hidden="false" customHeight="true" outlineLevel="0" collapsed="false">
      <c r="A292" s="1" t="s">
        <v>36</v>
      </c>
      <c r="B292" s="1" t="s">
        <v>66</v>
      </c>
      <c r="C292" s="1" t="s">
        <v>70</v>
      </c>
      <c r="D292" s="1" t="s">
        <v>207</v>
      </c>
      <c r="E292" s="1" t="s">
        <v>210</v>
      </c>
      <c r="F292" s="1" t="s">
        <v>12</v>
      </c>
      <c r="G292" s="1" t="n">
        <v>48000</v>
      </c>
      <c r="H292" s="1" t="s">
        <v>31</v>
      </c>
    </row>
    <row r="293" customFormat="false" ht="15" hidden="false" customHeight="true" outlineLevel="0" collapsed="false">
      <c r="A293" s="1" t="s">
        <v>36</v>
      </c>
      <c r="B293" s="1" t="s">
        <v>66</v>
      </c>
      <c r="C293" s="1" t="s">
        <v>70</v>
      </c>
      <c r="D293" s="1" t="s">
        <v>208</v>
      </c>
      <c r="E293" s="1" t="s">
        <v>211</v>
      </c>
      <c r="F293" s="1" t="s">
        <v>12</v>
      </c>
      <c r="G293" s="1" t="n">
        <v>473000</v>
      </c>
      <c r="H293" s="1" t="s">
        <v>31</v>
      </c>
    </row>
    <row r="294" customFormat="false" ht="15" hidden="false" customHeight="true" outlineLevel="0" collapsed="false">
      <c r="A294" s="1" t="s">
        <v>36</v>
      </c>
      <c r="B294" s="1" t="s">
        <v>66</v>
      </c>
      <c r="C294" s="1" t="s">
        <v>80</v>
      </c>
      <c r="D294" s="1" t="s">
        <v>212</v>
      </c>
      <c r="E294" s="1" t="s">
        <v>199</v>
      </c>
      <c r="F294" s="1" t="s">
        <v>12</v>
      </c>
      <c r="G294" s="1" t="n">
        <v>229200</v>
      </c>
      <c r="H294" s="1" t="s">
        <v>31</v>
      </c>
    </row>
    <row r="295" customFormat="false" ht="15" hidden="false" customHeight="true" outlineLevel="0" collapsed="false">
      <c r="A295" s="1" t="s">
        <v>36</v>
      </c>
      <c r="B295" s="1" t="s">
        <v>66</v>
      </c>
      <c r="C295" s="1" t="s">
        <v>70</v>
      </c>
      <c r="D295" s="1" t="s">
        <v>213</v>
      </c>
      <c r="E295" s="1" t="s">
        <v>197</v>
      </c>
      <c r="F295" s="1" t="s">
        <v>12</v>
      </c>
      <c r="G295" s="1" t="n">
        <v>190002</v>
      </c>
      <c r="H295" s="1" t="s">
        <v>31</v>
      </c>
    </row>
    <row r="296" customFormat="false" ht="15" hidden="false" customHeight="true" outlineLevel="0" collapsed="false">
      <c r="A296" s="1" t="s">
        <v>38</v>
      </c>
      <c r="B296" s="1" t="s">
        <v>66</v>
      </c>
      <c r="C296" s="1" t="s">
        <v>106</v>
      </c>
      <c r="D296" s="1" t="s">
        <v>214</v>
      </c>
      <c r="E296" s="1" t="s">
        <v>215</v>
      </c>
      <c r="F296" s="1" t="s">
        <v>12</v>
      </c>
      <c r="G296" s="1" t="n">
        <v>999056</v>
      </c>
      <c r="H296" s="1" t="s">
        <v>31</v>
      </c>
    </row>
    <row r="297" customFormat="false" ht="15" hidden="false" customHeight="true" outlineLevel="0" collapsed="false">
      <c r="A297" s="1" t="s">
        <v>38</v>
      </c>
      <c r="B297" s="1" t="s">
        <v>66</v>
      </c>
      <c r="C297" s="1" t="s">
        <v>70</v>
      </c>
      <c r="D297" s="1" t="s">
        <v>214</v>
      </c>
      <c r="E297" s="1" t="s">
        <v>216</v>
      </c>
      <c r="F297" s="1" t="s">
        <v>12</v>
      </c>
      <c r="G297" s="1" t="n">
        <v>195000</v>
      </c>
      <c r="H297" s="1" t="s">
        <v>31</v>
      </c>
    </row>
    <row r="298" customFormat="false" ht="15" hidden="false" customHeight="true" outlineLevel="0" collapsed="false">
      <c r="A298" s="1" t="s">
        <v>38</v>
      </c>
      <c r="B298" s="1" t="s">
        <v>66</v>
      </c>
      <c r="C298" s="1" t="s">
        <v>70</v>
      </c>
      <c r="D298" s="1" t="s">
        <v>214</v>
      </c>
      <c r="E298" s="1" t="s">
        <v>147</v>
      </c>
      <c r="F298" s="1" t="s">
        <v>12</v>
      </c>
      <c r="G298" s="1" t="n">
        <v>70000</v>
      </c>
      <c r="H298" s="1" t="s">
        <v>31</v>
      </c>
    </row>
    <row r="299" customFormat="false" ht="15" hidden="false" customHeight="true" outlineLevel="0" collapsed="false">
      <c r="A299" s="1" t="s">
        <v>38</v>
      </c>
      <c r="B299" s="1" t="s">
        <v>27</v>
      </c>
      <c r="D299" s="1" t="s">
        <v>217</v>
      </c>
      <c r="E299" s="1" t="s">
        <v>153</v>
      </c>
      <c r="F299" s="1" t="s">
        <v>12</v>
      </c>
      <c r="G299" s="1" t="n">
        <v>10381</v>
      </c>
      <c r="H299" s="1" t="s">
        <v>31</v>
      </c>
    </row>
    <row r="300" customFormat="false" ht="15" hidden="false" customHeight="true" outlineLevel="0" collapsed="false">
      <c r="A300" s="1" t="s">
        <v>39</v>
      </c>
      <c r="B300" s="1" t="s">
        <v>66</v>
      </c>
      <c r="C300" s="1" t="s">
        <v>67</v>
      </c>
      <c r="D300" s="1" t="s">
        <v>218</v>
      </c>
      <c r="E300" s="1" t="s">
        <v>69</v>
      </c>
      <c r="F300" s="1" t="s">
        <v>12</v>
      </c>
      <c r="G300" s="1" t="n">
        <v>117500</v>
      </c>
      <c r="H300" s="1" t="s">
        <v>31</v>
      </c>
    </row>
    <row r="301" customFormat="false" ht="15" hidden="false" customHeight="true" outlineLevel="0" collapsed="false">
      <c r="A301" s="1" t="s">
        <v>39</v>
      </c>
      <c r="B301" s="1" t="s">
        <v>66</v>
      </c>
      <c r="C301" s="1" t="s">
        <v>67</v>
      </c>
      <c r="D301" s="1" t="s">
        <v>218</v>
      </c>
      <c r="E301" s="1" t="s">
        <v>219</v>
      </c>
      <c r="F301" s="1" t="s">
        <v>12</v>
      </c>
      <c r="G301" s="1" t="n">
        <v>6000</v>
      </c>
      <c r="H301" s="1" t="s">
        <v>31</v>
      </c>
    </row>
    <row r="302" customFormat="false" ht="15" hidden="false" customHeight="true" outlineLevel="0" collapsed="false">
      <c r="A302" s="1" t="s">
        <v>39</v>
      </c>
      <c r="B302" s="1" t="s">
        <v>66</v>
      </c>
      <c r="C302" s="1" t="s">
        <v>70</v>
      </c>
      <c r="D302" s="1" t="s">
        <v>220</v>
      </c>
      <c r="E302" s="1" t="s">
        <v>197</v>
      </c>
      <c r="F302" s="1" t="s">
        <v>12</v>
      </c>
      <c r="G302" s="1" t="n">
        <v>80000</v>
      </c>
      <c r="H302" s="1" t="s">
        <v>31</v>
      </c>
    </row>
    <row r="303" customFormat="false" ht="15" hidden="false" customHeight="true" outlineLevel="0" collapsed="false">
      <c r="A303" s="1" t="s">
        <v>39</v>
      </c>
      <c r="B303" s="1" t="s">
        <v>66</v>
      </c>
      <c r="C303" s="1" t="s">
        <v>70</v>
      </c>
      <c r="D303" s="1" t="s">
        <v>221</v>
      </c>
      <c r="E303" s="1" t="s">
        <v>180</v>
      </c>
      <c r="F303" s="1" t="s">
        <v>12</v>
      </c>
      <c r="G303" s="1" t="n">
        <v>280000</v>
      </c>
      <c r="H303" s="1" t="s">
        <v>31</v>
      </c>
    </row>
    <row r="304" customFormat="false" ht="15" hidden="false" customHeight="true" outlineLevel="0" collapsed="false">
      <c r="A304" s="1" t="s">
        <v>39</v>
      </c>
      <c r="B304" s="1" t="s">
        <v>66</v>
      </c>
      <c r="C304" s="1" t="s">
        <v>70</v>
      </c>
      <c r="D304" s="1" t="s">
        <v>221</v>
      </c>
      <c r="E304" s="1" t="s">
        <v>189</v>
      </c>
      <c r="F304" s="1" t="s">
        <v>12</v>
      </c>
      <c r="G304" s="1" t="n">
        <v>100000</v>
      </c>
      <c r="H304" s="1" t="s">
        <v>31</v>
      </c>
    </row>
    <row r="305" customFormat="false" ht="15" hidden="false" customHeight="true" outlineLevel="0" collapsed="false">
      <c r="A305" s="1" t="s">
        <v>39</v>
      </c>
      <c r="B305" s="1" t="s">
        <v>66</v>
      </c>
      <c r="C305" s="1" t="s">
        <v>70</v>
      </c>
      <c r="D305" s="1" t="s">
        <v>222</v>
      </c>
      <c r="E305" s="1" t="s">
        <v>158</v>
      </c>
      <c r="F305" s="1" t="s">
        <v>12</v>
      </c>
      <c r="G305" s="1" t="n">
        <v>140800</v>
      </c>
      <c r="H305" s="1" t="s">
        <v>31</v>
      </c>
    </row>
    <row r="306" customFormat="false" ht="15" hidden="false" customHeight="true" outlineLevel="0" collapsed="false">
      <c r="A306" s="1" t="s">
        <v>40</v>
      </c>
      <c r="B306" s="1" t="s">
        <v>66</v>
      </c>
      <c r="C306" s="1" t="s">
        <v>70</v>
      </c>
      <c r="D306" s="1" t="s">
        <v>223</v>
      </c>
      <c r="E306" s="1" t="s">
        <v>224</v>
      </c>
      <c r="F306" s="1" t="s">
        <v>12</v>
      </c>
      <c r="G306" s="1" t="n">
        <v>51200</v>
      </c>
      <c r="H306" s="1" t="s">
        <v>31</v>
      </c>
    </row>
    <row r="307" customFormat="false" ht="15" hidden="false" customHeight="true" outlineLevel="0" collapsed="false">
      <c r="A307" s="1" t="s">
        <v>40</v>
      </c>
      <c r="B307" s="1" t="s">
        <v>66</v>
      </c>
      <c r="C307" s="1" t="s">
        <v>80</v>
      </c>
      <c r="D307" s="1" t="s">
        <v>225</v>
      </c>
      <c r="E307" s="1" t="s">
        <v>199</v>
      </c>
      <c r="F307" s="1" t="s">
        <v>12</v>
      </c>
      <c r="G307" s="1" t="n">
        <v>564697</v>
      </c>
      <c r="H307" s="1" t="s">
        <v>31</v>
      </c>
    </row>
    <row r="308" customFormat="false" ht="15" hidden="false" customHeight="true" outlineLevel="0" collapsed="false">
      <c r="A308" s="1" t="s">
        <v>40</v>
      </c>
      <c r="B308" s="1" t="s">
        <v>66</v>
      </c>
      <c r="C308" s="1" t="s">
        <v>80</v>
      </c>
      <c r="D308" s="1" t="s">
        <v>225</v>
      </c>
      <c r="E308" s="1" t="s">
        <v>116</v>
      </c>
      <c r="F308" s="1" t="s">
        <v>12</v>
      </c>
      <c r="G308" s="1" t="n">
        <v>-112939</v>
      </c>
      <c r="H308" s="1" t="s">
        <v>31</v>
      </c>
    </row>
    <row r="309" customFormat="false" ht="15" hidden="false" customHeight="true" outlineLevel="0" collapsed="false">
      <c r="A309" s="1" t="s">
        <v>40</v>
      </c>
      <c r="B309" s="1" t="s">
        <v>27</v>
      </c>
      <c r="D309" s="1" t="s">
        <v>226</v>
      </c>
      <c r="E309" s="1" t="s">
        <v>153</v>
      </c>
      <c r="F309" s="1" t="s">
        <v>12</v>
      </c>
      <c r="G309" s="1" t="n">
        <v>25752</v>
      </c>
      <c r="H309" s="1" t="s">
        <v>31</v>
      </c>
    </row>
    <row r="310" customFormat="false" ht="15" hidden="false" customHeight="true" outlineLevel="0" collapsed="false">
      <c r="A310" s="1" t="s">
        <v>9</v>
      </c>
      <c r="B310" s="1" t="s">
        <v>29</v>
      </c>
      <c r="D310" s="1" t="s">
        <v>91</v>
      </c>
      <c r="E310" s="1" t="s">
        <v>127</v>
      </c>
      <c r="F310" s="1" t="s">
        <v>18</v>
      </c>
      <c r="G310" s="1" t="n">
        <v>119526</v>
      </c>
      <c r="H310" s="1" t="s">
        <v>13</v>
      </c>
    </row>
    <row r="311" customFormat="false" ht="15" hidden="false" customHeight="true" outlineLevel="0" collapsed="false">
      <c r="A311" s="1" t="s">
        <v>9</v>
      </c>
      <c r="B311" s="1" t="s">
        <v>66</v>
      </c>
      <c r="C311" s="1" t="s">
        <v>83</v>
      </c>
      <c r="D311" s="1" t="s">
        <v>227</v>
      </c>
      <c r="E311" s="1" t="s">
        <v>93</v>
      </c>
      <c r="F311" s="1" t="s">
        <v>12</v>
      </c>
      <c r="G311" s="1" t="n">
        <v>25528</v>
      </c>
      <c r="H311" s="1" t="s">
        <v>13</v>
      </c>
    </row>
    <row r="312" customFormat="false" ht="15" hidden="false" customHeight="true" outlineLevel="0" collapsed="false">
      <c r="A312" s="1" t="s">
        <v>9</v>
      </c>
      <c r="B312" s="1" t="s">
        <v>66</v>
      </c>
      <c r="C312" s="1" t="s">
        <v>83</v>
      </c>
      <c r="D312" s="1" t="s">
        <v>102</v>
      </c>
      <c r="E312" s="1" t="s">
        <v>93</v>
      </c>
      <c r="F312" s="1" t="s">
        <v>12</v>
      </c>
      <c r="G312" s="1" t="n">
        <v>23457</v>
      </c>
      <c r="H312" s="1" t="s">
        <v>13</v>
      </c>
    </row>
    <row r="313" customFormat="false" ht="15" hidden="false" customHeight="true" outlineLevel="0" collapsed="false">
      <c r="A313" s="1" t="s">
        <v>9</v>
      </c>
      <c r="B313" s="1" t="s">
        <v>66</v>
      </c>
      <c r="C313" s="1" t="s">
        <v>83</v>
      </c>
      <c r="D313" s="1" t="s">
        <v>119</v>
      </c>
      <c r="E313" s="1" t="s">
        <v>93</v>
      </c>
      <c r="F313" s="1" t="s">
        <v>12</v>
      </c>
      <c r="G313" s="1" t="n">
        <v>13154</v>
      </c>
      <c r="H313" s="1" t="s">
        <v>13</v>
      </c>
    </row>
    <row r="314" customFormat="false" ht="15" hidden="false" customHeight="true" outlineLevel="0" collapsed="false">
      <c r="A314" s="1" t="s">
        <v>32</v>
      </c>
      <c r="B314" s="1" t="s">
        <v>66</v>
      </c>
      <c r="C314" s="1" t="s">
        <v>70</v>
      </c>
      <c r="D314" s="1" t="s">
        <v>143</v>
      </c>
      <c r="E314" s="1" t="s">
        <v>156</v>
      </c>
      <c r="F314" s="1" t="s">
        <v>12</v>
      </c>
      <c r="G314" s="1" t="n">
        <v>831231</v>
      </c>
      <c r="H314" s="1" t="s">
        <v>13</v>
      </c>
    </row>
    <row r="315" customFormat="false" ht="15" hidden="false" customHeight="true" outlineLevel="0" collapsed="false">
      <c r="A315" s="1" t="s">
        <v>32</v>
      </c>
      <c r="B315" s="1" t="s">
        <v>66</v>
      </c>
      <c r="C315" s="1" t="s">
        <v>80</v>
      </c>
      <c r="D315" s="1" t="s">
        <v>228</v>
      </c>
      <c r="E315" s="1" t="s">
        <v>149</v>
      </c>
      <c r="F315" s="1" t="s">
        <v>12</v>
      </c>
      <c r="G315" s="1" t="n">
        <v>46150</v>
      </c>
      <c r="H315" s="1" t="s">
        <v>13</v>
      </c>
    </row>
    <row r="316" customFormat="false" ht="15" hidden="false" customHeight="true" outlineLevel="0" collapsed="false">
      <c r="A316" s="1" t="s">
        <v>32</v>
      </c>
      <c r="B316" s="1" t="s">
        <v>66</v>
      </c>
      <c r="C316" s="1" t="s">
        <v>80</v>
      </c>
      <c r="D316" s="1" t="s">
        <v>229</v>
      </c>
      <c r="E316" s="1" t="s">
        <v>230</v>
      </c>
      <c r="F316" s="1" t="s">
        <v>12</v>
      </c>
      <c r="G316" s="1" t="n">
        <v>265505</v>
      </c>
      <c r="H316" s="1" t="s">
        <v>13</v>
      </c>
    </row>
    <row r="317" customFormat="false" ht="15" hidden="false" customHeight="true" outlineLevel="0" collapsed="false">
      <c r="A317" s="1" t="s">
        <v>32</v>
      </c>
      <c r="B317" s="1" t="s">
        <v>66</v>
      </c>
      <c r="C317" s="1" t="s">
        <v>70</v>
      </c>
      <c r="D317" s="1" t="s">
        <v>229</v>
      </c>
      <c r="E317" s="1" t="s">
        <v>156</v>
      </c>
      <c r="F317" s="1" t="s">
        <v>12</v>
      </c>
      <c r="G317" s="1" t="n">
        <v>193766</v>
      </c>
      <c r="H317" s="1" t="s">
        <v>13</v>
      </c>
    </row>
    <row r="318" customFormat="false" ht="15" hidden="false" customHeight="true" outlineLevel="0" collapsed="false">
      <c r="A318" s="1" t="s">
        <v>32</v>
      </c>
      <c r="B318" s="1" t="s">
        <v>66</v>
      </c>
      <c r="C318" s="1" t="s">
        <v>80</v>
      </c>
      <c r="D318" s="1" t="s">
        <v>229</v>
      </c>
      <c r="E318" s="1" t="s">
        <v>149</v>
      </c>
      <c r="F318" s="1" t="s">
        <v>12</v>
      </c>
      <c r="G318" s="1" t="n">
        <v>48350</v>
      </c>
      <c r="H318" s="1" t="s">
        <v>13</v>
      </c>
    </row>
    <row r="319" customFormat="false" ht="15" hidden="false" customHeight="true" outlineLevel="0" collapsed="false">
      <c r="A319" s="1" t="s">
        <v>9</v>
      </c>
      <c r="B319" s="1" t="s">
        <v>66</v>
      </c>
      <c r="C319" s="1" t="s">
        <v>80</v>
      </c>
      <c r="D319" s="1" t="s">
        <v>76</v>
      </c>
      <c r="E319" s="1" t="s">
        <v>192</v>
      </c>
      <c r="F319" s="1" t="s">
        <v>12</v>
      </c>
      <c r="G319" s="1" t="n">
        <v>29150</v>
      </c>
      <c r="H319" s="1" t="s">
        <v>13</v>
      </c>
    </row>
    <row r="320" customFormat="false" ht="15" hidden="false" customHeight="true" outlineLevel="0" collapsed="false">
      <c r="A320" s="1" t="s">
        <v>9</v>
      </c>
      <c r="B320" s="1" t="s">
        <v>66</v>
      </c>
      <c r="C320" s="1" t="s">
        <v>70</v>
      </c>
      <c r="D320" s="1" t="s">
        <v>91</v>
      </c>
      <c r="E320" s="1" t="s">
        <v>224</v>
      </c>
      <c r="F320" s="1" t="s">
        <v>12</v>
      </c>
      <c r="G320" s="1" t="n">
        <v>37600</v>
      </c>
      <c r="H320" s="1" t="s">
        <v>13</v>
      </c>
    </row>
    <row r="321" customFormat="false" ht="15" hidden="false" customHeight="true" outlineLevel="0" collapsed="false">
      <c r="A321" s="1" t="s">
        <v>9</v>
      </c>
      <c r="B321" s="1" t="s">
        <v>66</v>
      </c>
      <c r="C321" s="1" t="s">
        <v>80</v>
      </c>
      <c r="D321" s="1" t="s">
        <v>119</v>
      </c>
      <c r="E321" s="1" t="s">
        <v>192</v>
      </c>
      <c r="F321" s="1" t="s">
        <v>12</v>
      </c>
      <c r="G321" s="1" t="n">
        <v>74710</v>
      </c>
      <c r="H321" s="1" t="s">
        <v>13</v>
      </c>
    </row>
    <row r="322" customFormat="false" ht="15" hidden="false" customHeight="true" outlineLevel="0" collapsed="false">
      <c r="A322" s="1" t="s">
        <v>9</v>
      </c>
      <c r="B322" s="1" t="s">
        <v>66</v>
      </c>
      <c r="C322" s="1" t="s">
        <v>80</v>
      </c>
      <c r="D322" s="1" t="s">
        <v>119</v>
      </c>
      <c r="E322" s="1" t="s">
        <v>192</v>
      </c>
      <c r="F322" s="1" t="s">
        <v>12</v>
      </c>
      <c r="G322" s="1" t="n">
        <v>27111</v>
      </c>
      <c r="H322" s="1" t="s">
        <v>13</v>
      </c>
    </row>
    <row r="323" customFormat="false" ht="15" hidden="false" customHeight="true" outlineLevel="0" collapsed="false">
      <c r="A323" s="1" t="s">
        <v>32</v>
      </c>
      <c r="B323" s="1" t="s">
        <v>66</v>
      </c>
      <c r="C323" s="1" t="s">
        <v>80</v>
      </c>
      <c r="D323" s="1" t="s">
        <v>229</v>
      </c>
      <c r="E323" s="1" t="s">
        <v>116</v>
      </c>
      <c r="F323" s="1" t="s">
        <v>12</v>
      </c>
      <c r="G323" s="1" t="n">
        <v>-53101</v>
      </c>
      <c r="H323" s="1" t="s">
        <v>13</v>
      </c>
    </row>
    <row r="324" customFormat="false" ht="15" hidden="false" customHeight="true" outlineLevel="0" collapsed="false">
      <c r="A324" s="1" t="s">
        <v>9</v>
      </c>
      <c r="B324" s="1" t="s">
        <v>66</v>
      </c>
      <c r="C324" s="1" t="s">
        <v>70</v>
      </c>
      <c r="D324" s="1" t="s">
        <v>227</v>
      </c>
      <c r="E324" s="1" t="s">
        <v>231</v>
      </c>
      <c r="F324" s="1" t="s">
        <v>12</v>
      </c>
      <c r="G324" s="1" t="n">
        <v>-7520</v>
      </c>
      <c r="H324" s="1" t="s">
        <v>13</v>
      </c>
    </row>
    <row r="325" customFormat="false" ht="15" hidden="false" customHeight="true" outlineLevel="0" collapsed="false">
      <c r="A325" s="1" t="s">
        <v>9</v>
      </c>
      <c r="B325" s="1" t="s">
        <v>27</v>
      </c>
      <c r="D325" s="1" t="s">
        <v>122</v>
      </c>
      <c r="E325" s="1" t="s">
        <v>153</v>
      </c>
      <c r="F325" s="1" t="s">
        <v>12</v>
      </c>
      <c r="G325" s="1" t="n">
        <v>79835</v>
      </c>
      <c r="H325" s="1" t="s">
        <v>13</v>
      </c>
    </row>
    <row r="326" customFormat="false" ht="15" hidden="false" customHeight="true" outlineLevel="0" collapsed="false">
      <c r="A326" s="1" t="s">
        <v>32</v>
      </c>
      <c r="B326" s="1" t="s">
        <v>66</v>
      </c>
      <c r="C326" s="1" t="s">
        <v>106</v>
      </c>
      <c r="D326" s="1" t="s">
        <v>229</v>
      </c>
      <c r="E326" s="1" t="s">
        <v>232</v>
      </c>
      <c r="F326" s="1" t="s">
        <v>12</v>
      </c>
      <c r="G326" s="1" t="n">
        <v>771571</v>
      </c>
      <c r="H326" s="1" t="s">
        <v>65</v>
      </c>
    </row>
    <row r="327" customFormat="false" ht="15" hidden="false" customHeight="true" outlineLevel="0" collapsed="false">
      <c r="A327" s="1" t="s">
        <v>9</v>
      </c>
      <c r="B327" s="1" t="s">
        <v>66</v>
      </c>
      <c r="C327" s="1" t="s">
        <v>106</v>
      </c>
      <c r="D327" s="1" t="s">
        <v>79</v>
      </c>
      <c r="E327" s="1" t="s">
        <v>233</v>
      </c>
      <c r="F327" s="1" t="s">
        <v>12</v>
      </c>
      <c r="G327" s="1" t="n">
        <v>159800</v>
      </c>
      <c r="H327" s="1" t="s">
        <v>65</v>
      </c>
    </row>
    <row r="328" customFormat="false" ht="15" hidden="false" customHeight="true" outlineLevel="0" collapsed="false">
      <c r="A328" s="1" t="s">
        <v>9</v>
      </c>
      <c r="B328" s="1" t="s">
        <v>66</v>
      </c>
      <c r="C328" s="1" t="s">
        <v>167</v>
      </c>
      <c r="D328" s="1" t="s">
        <v>79</v>
      </c>
      <c r="E328" s="1" t="s">
        <v>234</v>
      </c>
      <c r="F328" s="1" t="s">
        <v>12</v>
      </c>
      <c r="G328" s="1" t="n">
        <v>142500</v>
      </c>
      <c r="H328" s="1" t="s">
        <v>65</v>
      </c>
    </row>
    <row r="329" customFormat="false" ht="15" hidden="false" customHeight="true" outlineLevel="0" collapsed="false">
      <c r="A329" s="1" t="s">
        <v>9</v>
      </c>
      <c r="B329" s="1" t="s">
        <v>66</v>
      </c>
      <c r="C329" s="1" t="s">
        <v>167</v>
      </c>
      <c r="D329" s="1" t="s">
        <v>85</v>
      </c>
      <c r="E329" s="1" t="s">
        <v>235</v>
      </c>
      <c r="F329" s="1" t="s">
        <v>12</v>
      </c>
      <c r="G329" s="1" t="n">
        <v>60000</v>
      </c>
      <c r="H329" s="1" t="s">
        <v>65</v>
      </c>
    </row>
    <row r="330" customFormat="false" ht="15" hidden="false" customHeight="true" outlineLevel="0" collapsed="false">
      <c r="A330" s="1" t="s">
        <v>9</v>
      </c>
      <c r="B330" s="1" t="s">
        <v>66</v>
      </c>
      <c r="C330" s="1" t="s">
        <v>80</v>
      </c>
      <c r="D330" s="1" t="s">
        <v>102</v>
      </c>
      <c r="E330" s="1" t="s">
        <v>199</v>
      </c>
      <c r="F330" s="1" t="s">
        <v>12</v>
      </c>
      <c r="G330" s="1" t="n">
        <v>95339</v>
      </c>
      <c r="H330" s="1" t="s">
        <v>65</v>
      </c>
    </row>
    <row r="331" customFormat="false" ht="15" hidden="false" customHeight="true" outlineLevel="0" collapsed="false">
      <c r="A331" s="1" t="s">
        <v>9</v>
      </c>
      <c r="B331" s="1" t="s">
        <v>66</v>
      </c>
      <c r="C331" s="1" t="s">
        <v>106</v>
      </c>
      <c r="D331" s="1" t="s">
        <v>236</v>
      </c>
      <c r="E331" s="1" t="s">
        <v>233</v>
      </c>
      <c r="F331" s="1" t="s">
        <v>12</v>
      </c>
      <c r="G331" s="1" t="n">
        <v>174680</v>
      </c>
      <c r="H331" s="1" t="s">
        <v>65</v>
      </c>
    </row>
    <row r="332" customFormat="false" ht="15" hidden="false" customHeight="true" outlineLevel="0" collapsed="false">
      <c r="A332" s="1" t="s">
        <v>9</v>
      </c>
      <c r="B332" s="1" t="s">
        <v>66</v>
      </c>
      <c r="C332" s="1" t="s">
        <v>106</v>
      </c>
      <c r="D332" s="1" t="s">
        <v>236</v>
      </c>
      <c r="E332" s="1" t="s">
        <v>237</v>
      </c>
      <c r="F332" s="1" t="s">
        <v>12</v>
      </c>
      <c r="G332" s="1" t="n">
        <v>477300</v>
      </c>
      <c r="H332" s="1" t="s">
        <v>65</v>
      </c>
    </row>
    <row r="333" customFormat="false" ht="15" hidden="false" customHeight="true" outlineLevel="0" collapsed="false">
      <c r="A333" s="1" t="s">
        <v>9</v>
      </c>
      <c r="B333" s="1" t="s">
        <v>66</v>
      </c>
      <c r="C333" s="1" t="s">
        <v>80</v>
      </c>
      <c r="D333" s="1" t="s">
        <v>130</v>
      </c>
      <c r="E333" s="1" t="s">
        <v>230</v>
      </c>
      <c r="F333" s="1" t="s">
        <v>12</v>
      </c>
      <c r="G333" s="1" t="n">
        <v>116250</v>
      </c>
      <c r="H333" s="1" t="s">
        <v>13</v>
      </c>
    </row>
    <row r="334" customFormat="false" ht="15" hidden="false" customHeight="true" outlineLevel="0" collapsed="false">
      <c r="A334" s="1" t="s">
        <v>36</v>
      </c>
      <c r="B334" s="1" t="s">
        <v>27</v>
      </c>
      <c r="D334" s="1" t="s">
        <v>238</v>
      </c>
      <c r="E334" s="1" t="s">
        <v>239</v>
      </c>
      <c r="F334" s="1" t="s">
        <v>18</v>
      </c>
      <c r="G334" s="1" t="n">
        <v>356000</v>
      </c>
      <c r="H334" s="1" t="s">
        <v>13</v>
      </c>
    </row>
    <row r="335" customFormat="false" ht="15" hidden="false" customHeight="true" outlineLevel="0" collapsed="false">
      <c r="A335" s="1" t="s">
        <v>36</v>
      </c>
      <c r="B335" s="1" t="s">
        <v>10</v>
      </c>
      <c r="E335" s="1" t="s">
        <v>240</v>
      </c>
      <c r="F335" s="1" t="s">
        <v>12</v>
      </c>
      <c r="G335" s="1" t="n">
        <v>2833</v>
      </c>
      <c r="H335" s="1" t="s">
        <v>13</v>
      </c>
    </row>
    <row r="336" customFormat="false" ht="15" hidden="false" customHeight="true" outlineLevel="0" collapsed="false">
      <c r="A336" s="1" t="s">
        <v>38</v>
      </c>
      <c r="B336" s="1" t="s">
        <v>10</v>
      </c>
      <c r="E336" s="1" t="s">
        <v>240</v>
      </c>
      <c r="F336" s="1" t="s">
        <v>12</v>
      </c>
      <c r="G336" s="1" t="n">
        <v>3425</v>
      </c>
      <c r="H336" s="1" t="s">
        <v>13</v>
      </c>
    </row>
    <row r="337" customFormat="false" ht="15" hidden="false" customHeight="true" outlineLevel="0" collapsed="false">
      <c r="A337" s="1" t="s">
        <v>39</v>
      </c>
      <c r="B337" s="1" t="s">
        <v>10</v>
      </c>
      <c r="E337" s="1" t="s">
        <v>240</v>
      </c>
      <c r="F337" s="1" t="s">
        <v>12</v>
      </c>
      <c r="G337" s="1" t="n">
        <v>3866</v>
      </c>
      <c r="H337" s="1" t="s">
        <v>13</v>
      </c>
    </row>
    <row r="338" customFormat="false" ht="15" hidden="false" customHeight="true" outlineLevel="0" collapsed="false">
      <c r="A338" s="1" t="s">
        <v>40</v>
      </c>
      <c r="B338" s="1" t="s">
        <v>10</v>
      </c>
      <c r="E338" s="1" t="s">
        <v>240</v>
      </c>
      <c r="F338" s="1" t="s">
        <v>12</v>
      </c>
      <c r="G338" s="1" t="n">
        <v>4150</v>
      </c>
      <c r="H338" s="1" t="s">
        <v>13</v>
      </c>
    </row>
    <row r="339" customFormat="false" ht="15" hidden="false" customHeight="true" outlineLevel="0" collapsed="false">
      <c r="A339" s="1" t="s">
        <v>41</v>
      </c>
      <c r="B339" s="1" t="s">
        <v>10</v>
      </c>
      <c r="E339" s="1" t="s">
        <v>240</v>
      </c>
      <c r="F339" s="1" t="s">
        <v>12</v>
      </c>
      <c r="G339" s="1" t="n">
        <v>3625</v>
      </c>
      <c r="H339" s="1" t="s">
        <v>13</v>
      </c>
    </row>
    <row r="340" customFormat="false" ht="15" hidden="false" customHeight="true" outlineLevel="0" collapsed="false">
      <c r="A340" s="1" t="s">
        <v>42</v>
      </c>
      <c r="B340" s="1" t="s">
        <v>10</v>
      </c>
      <c r="E340" s="1" t="s">
        <v>240</v>
      </c>
      <c r="F340" s="1" t="s">
        <v>12</v>
      </c>
      <c r="G340" s="1" t="n">
        <v>2707</v>
      </c>
      <c r="H340" s="1" t="s">
        <v>94</v>
      </c>
    </row>
    <row r="341" customFormat="false" ht="15" hidden="false" customHeight="true" outlineLevel="0" collapsed="false">
      <c r="A341" s="1" t="s">
        <v>32</v>
      </c>
      <c r="B341" s="1" t="s">
        <v>10</v>
      </c>
      <c r="E341" s="1" t="s">
        <v>240</v>
      </c>
      <c r="F341" s="1" t="s">
        <v>12</v>
      </c>
      <c r="G341" s="1" t="n">
        <v>2697</v>
      </c>
      <c r="H341" s="1" t="s">
        <v>94</v>
      </c>
    </row>
    <row r="342" customFormat="false" ht="15" hidden="false" customHeight="true" outlineLevel="0" collapsed="false">
      <c r="A342" s="1" t="s">
        <v>36</v>
      </c>
      <c r="B342" s="1" t="s">
        <v>161</v>
      </c>
      <c r="E342" s="1" t="s">
        <v>241</v>
      </c>
      <c r="F342" s="1" t="s">
        <v>12</v>
      </c>
      <c r="G342" s="1" t="n">
        <v>373520</v>
      </c>
      <c r="H342" s="1" t="s">
        <v>13</v>
      </c>
    </row>
    <row r="343" customFormat="false" ht="15" hidden="false" customHeight="true" outlineLevel="0" collapsed="false">
      <c r="A343" s="1" t="s">
        <v>36</v>
      </c>
      <c r="B343" s="1" t="s">
        <v>66</v>
      </c>
      <c r="C343" s="1" t="s">
        <v>80</v>
      </c>
      <c r="D343" s="1" t="s">
        <v>238</v>
      </c>
      <c r="E343" s="1" t="s">
        <v>242</v>
      </c>
      <c r="F343" s="1" t="s">
        <v>12</v>
      </c>
      <c r="G343" s="1" t="n">
        <v>294383</v>
      </c>
      <c r="H343" s="1" t="s">
        <v>13</v>
      </c>
    </row>
    <row r="344" customFormat="false" ht="15" hidden="false" customHeight="true" outlineLevel="0" collapsed="false">
      <c r="A344" s="1" t="s">
        <v>36</v>
      </c>
      <c r="B344" s="1" t="s">
        <v>66</v>
      </c>
      <c r="C344" s="1" t="s">
        <v>67</v>
      </c>
      <c r="D344" s="1" t="s">
        <v>243</v>
      </c>
      <c r="E344" s="1" t="s">
        <v>244</v>
      </c>
      <c r="F344" s="1" t="s">
        <v>12</v>
      </c>
      <c r="G344" s="1" t="n">
        <v>168000</v>
      </c>
      <c r="H344" s="1" t="s">
        <v>13</v>
      </c>
    </row>
    <row r="345" customFormat="false" ht="15" hidden="false" customHeight="true" outlineLevel="0" collapsed="false">
      <c r="A345" s="1" t="s">
        <v>36</v>
      </c>
      <c r="B345" s="1" t="s">
        <v>29</v>
      </c>
      <c r="E345" s="1" t="s">
        <v>127</v>
      </c>
      <c r="F345" s="1" t="s">
        <v>18</v>
      </c>
      <c r="G345" s="1" t="n">
        <v>134466</v>
      </c>
      <c r="H345" s="1" t="s">
        <v>13</v>
      </c>
    </row>
    <row r="346" customFormat="false" ht="15" hidden="false" customHeight="true" outlineLevel="0" collapsed="false">
      <c r="A346" s="1" t="s">
        <v>36</v>
      </c>
      <c r="B346" s="1" t="s">
        <v>10</v>
      </c>
      <c r="D346" s="1" t="s">
        <v>176</v>
      </c>
      <c r="E346" s="1" t="s">
        <v>245</v>
      </c>
      <c r="F346" s="1" t="s">
        <v>12</v>
      </c>
      <c r="G346" s="1" t="n">
        <v>50982</v>
      </c>
      <c r="H346" s="1" t="s">
        <v>13</v>
      </c>
    </row>
    <row r="347" customFormat="false" ht="15" hidden="false" customHeight="true" outlineLevel="0" collapsed="false">
      <c r="A347" s="1" t="s">
        <v>36</v>
      </c>
      <c r="B347" s="1" t="s">
        <v>66</v>
      </c>
      <c r="C347" s="1" t="s">
        <v>80</v>
      </c>
      <c r="D347" s="1" t="s">
        <v>176</v>
      </c>
      <c r="E347" s="1" t="s">
        <v>246</v>
      </c>
      <c r="F347" s="1" t="s">
        <v>12</v>
      </c>
      <c r="G347" s="1" t="n">
        <v>936617</v>
      </c>
      <c r="H347" s="1" t="s">
        <v>13</v>
      </c>
    </row>
    <row r="348" customFormat="false" ht="15" hidden="false" customHeight="true" outlineLevel="0" collapsed="false">
      <c r="A348" s="1" t="s">
        <v>36</v>
      </c>
      <c r="B348" s="1" t="s">
        <v>66</v>
      </c>
      <c r="C348" s="1" t="s">
        <v>80</v>
      </c>
      <c r="D348" s="1" t="s">
        <v>177</v>
      </c>
      <c r="E348" s="1" t="s">
        <v>199</v>
      </c>
      <c r="F348" s="1" t="s">
        <v>12</v>
      </c>
      <c r="G348" s="1" t="n">
        <v>207824</v>
      </c>
      <c r="H348" s="1" t="s">
        <v>13</v>
      </c>
    </row>
    <row r="349" customFormat="false" ht="15" hidden="false" customHeight="true" outlineLevel="0" collapsed="false">
      <c r="A349" s="1" t="s">
        <v>36</v>
      </c>
      <c r="B349" s="1" t="s">
        <v>66</v>
      </c>
      <c r="C349" s="1" t="s">
        <v>67</v>
      </c>
      <c r="D349" s="1" t="s">
        <v>247</v>
      </c>
      <c r="E349" s="1" t="s">
        <v>244</v>
      </c>
      <c r="F349" s="1" t="s">
        <v>12</v>
      </c>
      <c r="G349" s="1" t="n">
        <v>150000</v>
      </c>
      <c r="H349" s="1" t="s">
        <v>13</v>
      </c>
    </row>
    <row r="350" customFormat="false" ht="15" hidden="false" customHeight="true" outlineLevel="0" collapsed="false">
      <c r="A350" s="1" t="s">
        <v>36</v>
      </c>
      <c r="B350" s="1" t="s">
        <v>27</v>
      </c>
      <c r="E350" s="1" t="s">
        <v>248</v>
      </c>
      <c r="F350" s="1" t="s">
        <v>12</v>
      </c>
      <c r="G350" s="1" t="n">
        <v>5603</v>
      </c>
      <c r="H350" s="1" t="s">
        <v>13</v>
      </c>
    </row>
    <row r="351" customFormat="false" ht="15" hidden="false" customHeight="true" outlineLevel="0" collapsed="false">
      <c r="A351" s="1" t="s">
        <v>36</v>
      </c>
      <c r="B351" s="1" t="s">
        <v>10</v>
      </c>
      <c r="E351" s="1" t="s">
        <v>249</v>
      </c>
      <c r="F351" s="1" t="s">
        <v>18</v>
      </c>
      <c r="G351" s="1" t="n">
        <v>22727</v>
      </c>
      <c r="H351" s="1" t="s">
        <v>13</v>
      </c>
    </row>
    <row r="352" customFormat="false" ht="15" hidden="false" customHeight="true" outlineLevel="0" collapsed="false">
      <c r="A352" s="1" t="s">
        <v>38</v>
      </c>
      <c r="B352" s="1" t="s">
        <v>161</v>
      </c>
      <c r="E352" s="1" t="s">
        <v>250</v>
      </c>
      <c r="F352" s="1" t="s">
        <v>12</v>
      </c>
      <c r="G352" s="1" t="n">
        <v>373520</v>
      </c>
      <c r="H352" s="1" t="s">
        <v>13</v>
      </c>
    </row>
    <row r="353" customFormat="false" ht="15" hidden="false" customHeight="true" outlineLevel="0" collapsed="false">
      <c r="A353" s="1" t="s">
        <v>36</v>
      </c>
      <c r="B353" s="1" t="s">
        <v>66</v>
      </c>
      <c r="C353" s="1" t="s">
        <v>67</v>
      </c>
      <c r="D353" s="1" t="s">
        <v>207</v>
      </c>
      <c r="E353" s="1" t="s">
        <v>244</v>
      </c>
      <c r="F353" s="1" t="s">
        <v>12</v>
      </c>
      <c r="G353" s="1" t="n">
        <v>137000</v>
      </c>
      <c r="H353" s="1" t="s">
        <v>13</v>
      </c>
    </row>
    <row r="354" customFormat="false" ht="15" hidden="false" customHeight="true" outlineLevel="0" collapsed="false">
      <c r="A354" s="1" t="s">
        <v>36</v>
      </c>
      <c r="B354" s="1" t="s">
        <v>66</v>
      </c>
      <c r="C354" s="1" t="s">
        <v>80</v>
      </c>
      <c r="D354" s="1" t="s">
        <v>208</v>
      </c>
      <c r="E354" s="1" t="s">
        <v>199</v>
      </c>
      <c r="F354" s="1" t="s">
        <v>12</v>
      </c>
      <c r="G354" s="1" t="n">
        <v>395852</v>
      </c>
      <c r="H354" s="1" t="s">
        <v>13</v>
      </c>
    </row>
    <row r="355" customFormat="false" ht="15" hidden="false" customHeight="true" outlineLevel="0" collapsed="false">
      <c r="A355" s="1" t="s">
        <v>36</v>
      </c>
      <c r="B355" s="1" t="s">
        <v>66</v>
      </c>
      <c r="C355" s="1" t="s">
        <v>95</v>
      </c>
      <c r="D355" s="1" t="s">
        <v>251</v>
      </c>
      <c r="E355" s="1" t="s">
        <v>252</v>
      </c>
      <c r="F355" s="1" t="s">
        <v>12</v>
      </c>
      <c r="G355" s="1" t="n">
        <v>273847</v>
      </c>
      <c r="H355" s="1" t="s">
        <v>13</v>
      </c>
    </row>
    <row r="356" customFormat="false" ht="15" hidden="false" customHeight="true" outlineLevel="0" collapsed="false">
      <c r="A356" s="1" t="s">
        <v>36</v>
      </c>
      <c r="B356" s="1" t="s">
        <v>66</v>
      </c>
      <c r="C356" s="1" t="s">
        <v>67</v>
      </c>
      <c r="D356" s="1" t="s">
        <v>212</v>
      </c>
      <c r="E356" s="1" t="s">
        <v>244</v>
      </c>
      <c r="F356" s="1" t="s">
        <v>12</v>
      </c>
      <c r="G356" s="1" t="n">
        <v>195000</v>
      </c>
      <c r="H356" s="1" t="s">
        <v>13</v>
      </c>
    </row>
    <row r="357" customFormat="false" ht="15" hidden="false" customHeight="true" outlineLevel="0" collapsed="false">
      <c r="A357" s="1" t="s">
        <v>36</v>
      </c>
      <c r="B357" s="1" t="s">
        <v>66</v>
      </c>
      <c r="C357" s="1" t="s">
        <v>80</v>
      </c>
      <c r="D357" s="1" t="s">
        <v>253</v>
      </c>
      <c r="E357" s="1" t="s">
        <v>254</v>
      </c>
      <c r="F357" s="1" t="s">
        <v>12</v>
      </c>
      <c r="G357" s="1" t="n">
        <v>134486</v>
      </c>
      <c r="H357" s="1" t="s">
        <v>13</v>
      </c>
    </row>
    <row r="358" customFormat="false" ht="15" hidden="false" customHeight="true" outlineLevel="0" collapsed="false">
      <c r="A358" s="1" t="s">
        <v>36</v>
      </c>
      <c r="B358" s="1" t="s">
        <v>66</v>
      </c>
      <c r="C358" s="1" t="s">
        <v>80</v>
      </c>
      <c r="D358" s="1" t="s">
        <v>255</v>
      </c>
      <c r="E358" s="1" t="s">
        <v>256</v>
      </c>
      <c r="F358" s="1" t="s">
        <v>12</v>
      </c>
      <c r="G358" s="1" t="n">
        <v>48000</v>
      </c>
      <c r="H358" s="1" t="s">
        <v>13</v>
      </c>
    </row>
    <row r="359" customFormat="false" ht="15" hidden="false" customHeight="true" outlineLevel="0" collapsed="false">
      <c r="A359" s="1" t="s">
        <v>36</v>
      </c>
      <c r="B359" s="1" t="s">
        <v>66</v>
      </c>
      <c r="C359" s="1" t="s">
        <v>80</v>
      </c>
      <c r="D359" s="1" t="s">
        <v>257</v>
      </c>
      <c r="E359" s="1" t="s">
        <v>199</v>
      </c>
      <c r="F359" s="1" t="s">
        <v>12</v>
      </c>
      <c r="G359" s="1" t="n">
        <v>517066</v>
      </c>
      <c r="H359" s="1" t="s">
        <v>13</v>
      </c>
    </row>
    <row r="360" customFormat="false" ht="15" hidden="false" customHeight="true" outlineLevel="0" collapsed="false">
      <c r="A360" s="1" t="s">
        <v>36</v>
      </c>
      <c r="B360" s="1" t="s">
        <v>29</v>
      </c>
      <c r="E360" s="1" t="s">
        <v>34</v>
      </c>
      <c r="F360" s="1" t="s">
        <v>18</v>
      </c>
      <c r="G360" s="1" t="n">
        <v>59589</v>
      </c>
      <c r="H360" s="1" t="s">
        <v>13</v>
      </c>
    </row>
    <row r="361" customFormat="false" ht="15" hidden="false" customHeight="true" outlineLevel="0" collapsed="false">
      <c r="A361" s="1" t="s">
        <v>38</v>
      </c>
      <c r="B361" s="1" t="s">
        <v>66</v>
      </c>
      <c r="C361" s="1" t="s">
        <v>67</v>
      </c>
      <c r="D361" s="1" t="s">
        <v>258</v>
      </c>
      <c r="E361" s="1" t="s">
        <v>244</v>
      </c>
      <c r="F361" s="1" t="s">
        <v>12</v>
      </c>
      <c r="G361" s="1" t="n">
        <v>127000</v>
      </c>
      <c r="H361" s="1" t="s">
        <v>13</v>
      </c>
    </row>
    <row r="362" customFormat="false" ht="15" hidden="false" customHeight="true" outlineLevel="0" collapsed="false">
      <c r="A362" s="1" t="s">
        <v>38</v>
      </c>
      <c r="B362" s="1" t="s">
        <v>66</v>
      </c>
      <c r="C362" s="1" t="s">
        <v>67</v>
      </c>
      <c r="D362" s="1" t="s">
        <v>259</v>
      </c>
      <c r="E362" s="1" t="s">
        <v>244</v>
      </c>
      <c r="F362" s="1" t="s">
        <v>12</v>
      </c>
      <c r="G362" s="1" t="n">
        <v>112000</v>
      </c>
      <c r="H362" s="1" t="s">
        <v>13</v>
      </c>
    </row>
    <row r="363" customFormat="false" ht="15" hidden="false" customHeight="true" outlineLevel="0" collapsed="false">
      <c r="A363" s="1" t="s">
        <v>38</v>
      </c>
      <c r="B363" s="1" t="s">
        <v>66</v>
      </c>
      <c r="C363" s="1" t="s">
        <v>95</v>
      </c>
      <c r="D363" s="1" t="s">
        <v>259</v>
      </c>
      <c r="E363" s="1" t="s">
        <v>252</v>
      </c>
      <c r="F363" s="1" t="s">
        <v>12</v>
      </c>
      <c r="G363" s="1" t="n">
        <v>259730</v>
      </c>
      <c r="H363" s="1" t="s">
        <v>13</v>
      </c>
    </row>
    <row r="364" customFormat="false" ht="15" hidden="false" customHeight="true" outlineLevel="0" collapsed="false">
      <c r="A364" s="1" t="s">
        <v>38</v>
      </c>
      <c r="B364" s="1" t="s">
        <v>66</v>
      </c>
      <c r="C364" s="1" t="s">
        <v>80</v>
      </c>
      <c r="D364" s="1" t="s">
        <v>260</v>
      </c>
      <c r="E364" s="1" t="s">
        <v>246</v>
      </c>
      <c r="F364" s="1" t="s">
        <v>12</v>
      </c>
      <c r="G364" s="1" t="n">
        <v>139453</v>
      </c>
      <c r="H364" s="1" t="s">
        <v>13</v>
      </c>
    </row>
    <row r="365" customFormat="false" ht="15" hidden="false" customHeight="true" outlineLevel="0" collapsed="false">
      <c r="A365" s="1" t="s">
        <v>38</v>
      </c>
      <c r="B365" s="1" t="s">
        <v>29</v>
      </c>
      <c r="E365" s="1" t="s">
        <v>127</v>
      </c>
      <c r="F365" s="1" t="s">
        <v>18</v>
      </c>
      <c r="G365" s="1" t="n">
        <v>132793</v>
      </c>
      <c r="H365" s="1" t="s">
        <v>13</v>
      </c>
    </row>
    <row r="366" customFormat="false" ht="15" hidden="false" customHeight="true" outlineLevel="0" collapsed="false">
      <c r="A366" s="1" t="s">
        <v>38</v>
      </c>
      <c r="B366" s="1" t="s">
        <v>66</v>
      </c>
      <c r="C366" s="1" t="s">
        <v>67</v>
      </c>
      <c r="D366" s="1" t="s">
        <v>261</v>
      </c>
      <c r="E366" s="1" t="s">
        <v>244</v>
      </c>
      <c r="F366" s="1" t="s">
        <v>12</v>
      </c>
      <c r="G366" s="1" t="n">
        <v>407000</v>
      </c>
      <c r="H366" s="1" t="s">
        <v>13</v>
      </c>
    </row>
    <row r="367" customFormat="false" ht="15" hidden="false" customHeight="true" outlineLevel="0" collapsed="false">
      <c r="A367" s="1" t="s">
        <v>38</v>
      </c>
      <c r="B367" s="1" t="s">
        <v>66</v>
      </c>
      <c r="C367" s="1" t="s">
        <v>80</v>
      </c>
      <c r="D367" s="1" t="s">
        <v>262</v>
      </c>
      <c r="E367" s="1" t="s">
        <v>246</v>
      </c>
      <c r="F367" s="1" t="s">
        <v>12</v>
      </c>
      <c r="G367" s="1" t="n">
        <v>929706</v>
      </c>
      <c r="H367" s="1" t="s">
        <v>13</v>
      </c>
    </row>
    <row r="368" customFormat="false" ht="15" hidden="false" customHeight="true" outlineLevel="0" collapsed="false">
      <c r="A368" s="1" t="s">
        <v>38</v>
      </c>
      <c r="B368" s="1" t="s">
        <v>66</v>
      </c>
      <c r="C368" s="1" t="s">
        <v>167</v>
      </c>
      <c r="D368" s="1" t="s">
        <v>217</v>
      </c>
      <c r="E368" s="1" t="s">
        <v>263</v>
      </c>
      <c r="F368" s="1" t="s">
        <v>12</v>
      </c>
      <c r="G368" s="1" t="n">
        <v>878500</v>
      </c>
      <c r="H368" s="1" t="s">
        <v>13</v>
      </c>
    </row>
    <row r="369" customFormat="false" ht="15" hidden="false" customHeight="true" outlineLevel="0" collapsed="false">
      <c r="A369" s="1" t="s">
        <v>38</v>
      </c>
      <c r="B369" s="1" t="s">
        <v>66</v>
      </c>
      <c r="C369" s="1" t="s">
        <v>80</v>
      </c>
      <c r="D369" s="1" t="s">
        <v>217</v>
      </c>
      <c r="E369" s="1" t="s">
        <v>199</v>
      </c>
      <c r="F369" s="1" t="s">
        <v>12</v>
      </c>
      <c r="G369" s="1" t="n">
        <v>328125</v>
      </c>
      <c r="H369" s="1" t="s">
        <v>13</v>
      </c>
    </row>
    <row r="370" customFormat="false" ht="15" hidden="false" customHeight="true" outlineLevel="0" collapsed="false">
      <c r="A370" s="1" t="s">
        <v>38</v>
      </c>
      <c r="B370" s="1" t="s">
        <v>66</v>
      </c>
      <c r="C370" s="1" t="s">
        <v>67</v>
      </c>
      <c r="D370" s="1" t="s">
        <v>264</v>
      </c>
      <c r="E370" s="1" t="s">
        <v>244</v>
      </c>
      <c r="F370" s="1" t="s">
        <v>12</v>
      </c>
      <c r="G370" s="1" t="n">
        <v>166000</v>
      </c>
      <c r="H370" s="1" t="s">
        <v>13</v>
      </c>
    </row>
    <row r="371" customFormat="false" ht="15" hidden="false" customHeight="true" outlineLevel="0" collapsed="false">
      <c r="A371" s="1" t="s">
        <v>38</v>
      </c>
      <c r="B371" s="1" t="s">
        <v>66</v>
      </c>
      <c r="C371" s="1" t="s">
        <v>95</v>
      </c>
      <c r="D371" s="1" t="s">
        <v>265</v>
      </c>
      <c r="E371" s="1" t="s">
        <v>252</v>
      </c>
      <c r="F371" s="1" t="s">
        <v>12</v>
      </c>
      <c r="G371" s="1" t="n">
        <v>270622</v>
      </c>
      <c r="H371" s="1" t="s">
        <v>13</v>
      </c>
    </row>
    <row r="372" customFormat="false" ht="15" hidden="false" customHeight="true" outlineLevel="0" collapsed="false">
      <c r="A372" s="1" t="s">
        <v>38</v>
      </c>
      <c r="B372" s="1" t="s">
        <v>27</v>
      </c>
      <c r="E372" s="1" t="s">
        <v>248</v>
      </c>
      <c r="F372" s="1" t="s">
        <v>12</v>
      </c>
      <c r="G372" s="1" t="n">
        <v>11516</v>
      </c>
      <c r="H372" s="1" t="s">
        <v>13</v>
      </c>
    </row>
    <row r="373" customFormat="false" ht="15" hidden="false" customHeight="true" outlineLevel="0" collapsed="false">
      <c r="A373" s="1" t="s">
        <v>38</v>
      </c>
      <c r="B373" s="1" t="s">
        <v>10</v>
      </c>
      <c r="E373" s="1" t="s">
        <v>249</v>
      </c>
      <c r="F373" s="1" t="s">
        <v>18</v>
      </c>
      <c r="G373" s="1" t="n">
        <v>22727</v>
      </c>
      <c r="H373" s="1" t="s">
        <v>13</v>
      </c>
    </row>
    <row r="374" customFormat="false" ht="15" hidden="false" customHeight="true" outlineLevel="0" collapsed="false">
      <c r="A374" s="1" t="s">
        <v>39</v>
      </c>
      <c r="B374" s="1" t="s">
        <v>161</v>
      </c>
      <c r="E374" s="1" t="s">
        <v>266</v>
      </c>
      <c r="F374" s="1" t="s">
        <v>12</v>
      </c>
      <c r="G374" s="1" t="n">
        <v>373520</v>
      </c>
      <c r="H374" s="1" t="s">
        <v>13</v>
      </c>
    </row>
    <row r="375" customFormat="false" ht="15" hidden="false" customHeight="true" outlineLevel="0" collapsed="false">
      <c r="A375" s="1" t="s">
        <v>38</v>
      </c>
      <c r="B375" s="1" t="s">
        <v>66</v>
      </c>
      <c r="C375" s="1" t="s">
        <v>67</v>
      </c>
      <c r="D375" s="1" t="s">
        <v>267</v>
      </c>
      <c r="E375" s="1" t="s">
        <v>244</v>
      </c>
      <c r="F375" s="1" t="s">
        <v>12</v>
      </c>
      <c r="G375" s="1" t="n">
        <v>181000</v>
      </c>
      <c r="H375" s="1" t="s">
        <v>13</v>
      </c>
    </row>
    <row r="376" customFormat="false" ht="15" hidden="false" customHeight="true" outlineLevel="0" collapsed="false">
      <c r="A376" s="1" t="s">
        <v>38</v>
      </c>
      <c r="B376" s="1" t="s">
        <v>66</v>
      </c>
      <c r="C376" s="1" t="s">
        <v>95</v>
      </c>
      <c r="D376" s="1" t="s">
        <v>268</v>
      </c>
      <c r="E376" s="1" t="s">
        <v>269</v>
      </c>
      <c r="F376" s="1" t="s">
        <v>12</v>
      </c>
      <c r="G376" s="1" t="n">
        <v>78400</v>
      </c>
      <c r="H376" s="1" t="s">
        <v>13</v>
      </c>
    </row>
    <row r="377" customFormat="false" ht="15" hidden="false" customHeight="true" outlineLevel="0" collapsed="false">
      <c r="A377" s="1" t="s">
        <v>38</v>
      </c>
      <c r="B377" s="1" t="s">
        <v>66</v>
      </c>
      <c r="C377" s="1" t="s">
        <v>75</v>
      </c>
      <c r="D377" s="1" t="s">
        <v>270</v>
      </c>
      <c r="E377" s="1" t="s">
        <v>271</v>
      </c>
      <c r="F377" s="1" t="s">
        <v>12</v>
      </c>
      <c r="G377" s="1" t="n">
        <v>440300</v>
      </c>
      <c r="H377" s="1" t="s">
        <v>13</v>
      </c>
    </row>
    <row r="378" customFormat="false" ht="15" hidden="false" customHeight="true" outlineLevel="0" collapsed="false">
      <c r="A378" s="1" t="s">
        <v>38</v>
      </c>
      <c r="B378" s="1" t="s">
        <v>66</v>
      </c>
      <c r="C378" s="1" t="s">
        <v>80</v>
      </c>
      <c r="D378" s="1" t="s">
        <v>272</v>
      </c>
      <c r="E378" s="1" t="s">
        <v>273</v>
      </c>
      <c r="F378" s="1" t="s">
        <v>12</v>
      </c>
      <c r="G378" s="1" t="n">
        <v>265341</v>
      </c>
      <c r="H378" s="1" t="s">
        <v>13</v>
      </c>
    </row>
    <row r="379" customFormat="false" ht="15" hidden="false" customHeight="true" outlineLevel="0" collapsed="false">
      <c r="A379" s="1" t="s">
        <v>38</v>
      </c>
      <c r="B379" s="1" t="s">
        <v>66</v>
      </c>
      <c r="C379" s="1" t="s">
        <v>80</v>
      </c>
      <c r="D379" s="1" t="s">
        <v>272</v>
      </c>
      <c r="E379" s="1" t="s">
        <v>274</v>
      </c>
      <c r="F379" s="1" t="s">
        <v>12</v>
      </c>
      <c r="G379" s="1" t="n">
        <v>243191</v>
      </c>
      <c r="H379" s="1" t="s">
        <v>13</v>
      </c>
    </row>
    <row r="380" customFormat="false" ht="15" hidden="false" customHeight="true" outlineLevel="0" collapsed="false">
      <c r="A380" s="1" t="s">
        <v>38</v>
      </c>
      <c r="B380" s="1" t="s">
        <v>66</v>
      </c>
      <c r="C380" s="1" t="s">
        <v>67</v>
      </c>
      <c r="D380" s="1" t="s">
        <v>148</v>
      </c>
      <c r="E380" s="1" t="s">
        <v>244</v>
      </c>
      <c r="F380" s="1" t="s">
        <v>12</v>
      </c>
      <c r="G380" s="1" t="n">
        <v>239000</v>
      </c>
      <c r="H380" s="1" t="s">
        <v>13</v>
      </c>
    </row>
    <row r="381" customFormat="false" ht="15" hidden="false" customHeight="true" outlineLevel="0" collapsed="false">
      <c r="A381" s="1" t="s">
        <v>38</v>
      </c>
      <c r="B381" s="1" t="s">
        <v>66</v>
      </c>
      <c r="C381" s="1" t="s">
        <v>95</v>
      </c>
      <c r="D381" s="1" t="s">
        <v>148</v>
      </c>
      <c r="E381" s="1" t="s">
        <v>252</v>
      </c>
      <c r="F381" s="1" t="s">
        <v>12</v>
      </c>
      <c r="G381" s="1" t="n">
        <v>261384</v>
      </c>
      <c r="H381" s="1" t="s">
        <v>13</v>
      </c>
    </row>
    <row r="382" customFormat="false" ht="15" hidden="false" customHeight="true" outlineLevel="0" collapsed="false">
      <c r="A382" s="1" t="s">
        <v>38</v>
      </c>
      <c r="B382" s="1" t="s">
        <v>66</v>
      </c>
      <c r="C382" s="1" t="s">
        <v>80</v>
      </c>
      <c r="D382" s="1" t="s">
        <v>151</v>
      </c>
      <c r="E382" s="1" t="s">
        <v>199</v>
      </c>
      <c r="F382" s="1" t="s">
        <v>12</v>
      </c>
      <c r="G382" s="1" t="n">
        <v>387502</v>
      </c>
      <c r="H382" s="1" t="s">
        <v>13</v>
      </c>
    </row>
    <row r="383" customFormat="false" ht="15" hidden="false" customHeight="true" outlineLevel="0" collapsed="false">
      <c r="A383" s="1" t="s">
        <v>39</v>
      </c>
      <c r="B383" s="1" t="s">
        <v>66</v>
      </c>
      <c r="C383" s="1" t="s">
        <v>80</v>
      </c>
      <c r="D383" s="1" t="s">
        <v>275</v>
      </c>
      <c r="E383" s="1" t="s">
        <v>273</v>
      </c>
      <c r="F383" s="1" t="s">
        <v>12</v>
      </c>
      <c r="G383" s="1" t="n">
        <v>260955</v>
      </c>
      <c r="H383" s="1" t="s">
        <v>13</v>
      </c>
    </row>
    <row r="384" customFormat="false" ht="15" hidden="false" customHeight="true" outlineLevel="0" collapsed="false">
      <c r="A384" s="1" t="s">
        <v>39</v>
      </c>
      <c r="B384" s="1" t="s">
        <v>29</v>
      </c>
      <c r="E384" s="1" t="s">
        <v>34</v>
      </c>
      <c r="F384" s="1" t="s">
        <v>18</v>
      </c>
      <c r="G384" s="1" t="n">
        <v>57831</v>
      </c>
      <c r="H384" s="1" t="s">
        <v>13</v>
      </c>
    </row>
    <row r="385" customFormat="false" ht="15" hidden="false" customHeight="true" outlineLevel="0" collapsed="false">
      <c r="A385" s="1" t="s">
        <v>39</v>
      </c>
      <c r="B385" s="1" t="s">
        <v>66</v>
      </c>
      <c r="C385" s="1" t="s">
        <v>70</v>
      </c>
      <c r="D385" s="1" t="s">
        <v>275</v>
      </c>
      <c r="E385" s="1" t="s">
        <v>276</v>
      </c>
      <c r="F385" s="1" t="s">
        <v>12</v>
      </c>
      <c r="G385" s="1" t="n">
        <v>178000</v>
      </c>
      <c r="H385" s="1" t="s">
        <v>13</v>
      </c>
    </row>
    <row r="386" customFormat="false" ht="15" hidden="false" customHeight="true" outlineLevel="0" collapsed="false">
      <c r="A386" s="1" t="s">
        <v>39</v>
      </c>
      <c r="B386" s="1" t="s">
        <v>66</v>
      </c>
      <c r="C386" s="1" t="s">
        <v>70</v>
      </c>
      <c r="D386" s="1" t="s">
        <v>275</v>
      </c>
      <c r="E386" s="1" t="s">
        <v>277</v>
      </c>
      <c r="F386" s="1" t="s">
        <v>12</v>
      </c>
      <c r="G386" s="1" t="n">
        <v>122000</v>
      </c>
      <c r="H386" s="1" t="s">
        <v>13</v>
      </c>
    </row>
    <row r="387" customFormat="false" ht="15" hidden="false" customHeight="true" outlineLevel="0" collapsed="false">
      <c r="A387" s="1" t="s">
        <v>39</v>
      </c>
      <c r="B387" s="1" t="s">
        <v>66</v>
      </c>
      <c r="C387" s="1" t="s">
        <v>95</v>
      </c>
      <c r="D387" s="1" t="s">
        <v>275</v>
      </c>
      <c r="E387" s="1" t="s">
        <v>278</v>
      </c>
      <c r="F387" s="1" t="s">
        <v>12</v>
      </c>
      <c r="G387" s="1" t="n">
        <v>233052</v>
      </c>
      <c r="H387" s="1" t="s">
        <v>13</v>
      </c>
    </row>
    <row r="388" customFormat="false" ht="15" hidden="false" customHeight="true" outlineLevel="0" collapsed="false">
      <c r="A388" s="1" t="s">
        <v>39</v>
      </c>
      <c r="B388" s="1" t="s">
        <v>66</v>
      </c>
      <c r="C388" s="1" t="s">
        <v>80</v>
      </c>
      <c r="D388" s="1" t="s">
        <v>279</v>
      </c>
      <c r="E388" s="1" t="s">
        <v>246</v>
      </c>
      <c r="F388" s="1" t="s">
        <v>12</v>
      </c>
      <c r="G388" s="1" t="n">
        <v>535511</v>
      </c>
      <c r="H388" s="1" t="s">
        <v>13</v>
      </c>
    </row>
    <row r="389" customFormat="false" ht="15" hidden="false" customHeight="true" outlineLevel="0" collapsed="false">
      <c r="A389" s="1" t="s">
        <v>39</v>
      </c>
      <c r="B389" s="1" t="s">
        <v>29</v>
      </c>
      <c r="E389" s="1" t="s">
        <v>127</v>
      </c>
      <c r="F389" s="1" t="s">
        <v>18</v>
      </c>
      <c r="G389" s="1" t="n">
        <v>131201</v>
      </c>
      <c r="H389" s="1" t="s">
        <v>13</v>
      </c>
    </row>
    <row r="390" customFormat="false" ht="15" hidden="false" customHeight="true" outlineLevel="0" collapsed="false">
      <c r="A390" s="1" t="s">
        <v>39</v>
      </c>
      <c r="B390" s="1" t="s">
        <v>21</v>
      </c>
      <c r="D390" s="1" t="s">
        <v>280</v>
      </c>
      <c r="E390" s="1" t="s">
        <v>281</v>
      </c>
      <c r="F390" s="1" t="s">
        <v>12</v>
      </c>
      <c r="G390" s="1" t="n">
        <v>41329</v>
      </c>
      <c r="H390" s="1" t="s">
        <v>13</v>
      </c>
    </row>
    <row r="391" customFormat="false" ht="15" hidden="false" customHeight="true" outlineLevel="0" collapsed="false">
      <c r="A391" s="1" t="s">
        <v>39</v>
      </c>
      <c r="B391" s="1" t="s">
        <v>21</v>
      </c>
      <c r="D391" s="1" t="s">
        <v>280</v>
      </c>
      <c r="E391" s="1" t="s">
        <v>281</v>
      </c>
      <c r="F391" s="1" t="s">
        <v>12</v>
      </c>
      <c r="G391" s="1" t="n">
        <v>111000</v>
      </c>
      <c r="H391" s="1" t="s">
        <v>13</v>
      </c>
    </row>
    <row r="392" customFormat="false" ht="15" hidden="false" customHeight="true" outlineLevel="0" collapsed="false">
      <c r="A392" s="1" t="s">
        <v>39</v>
      </c>
      <c r="B392" s="1" t="s">
        <v>66</v>
      </c>
      <c r="C392" s="1" t="s">
        <v>67</v>
      </c>
      <c r="D392" s="1" t="s">
        <v>282</v>
      </c>
      <c r="E392" s="1" t="s">
        <v>244</v>
      </c>
      <c r="F392" s="1" t="s">
        <v>12</v>
      </c>
      <c r="G392" s="1" t="n">
        <v>183000</v>
      </c>
      <c r="H392" s="1" t="s">
        <v>13</v>
      </c>
    </row>
    <row r="393" customFormat="false" ht="15" hidden="false" customHeight="true" outlineLevel="0" collapsed="false">
      <c r="A393" s="1" t="s">
        <v>39</v>
      </c>
      <c r="B393" s="1" t="s">
        <v>66</v>
      </c>
      <c r="C393" s="1" t="s">
        <v>95</v>
      </c>
      <c r="D393" s="1" t="s">
        <v>282</v>
      </c>
      <c r="E393" s="1" t="s">
        <v>252</v>
      </c>
      <c r="F393" s="1" t="s">
        <v>12</v>
      </c>
      <c r="G393" s="1" t="n">
        <v>274095</v>
      </c>
      <c r="H393" s="1" t="s">
        <v>13</v>
      </c>
    </row>
    <row r="394" customFormat="false" ht="15" hidden="false" customHeight="true" outlineLevel="0" collapsed="false">
      <c r="A394" s="1" t="s">
        <v>39</v>
      </c>
      <c r="B394" s="1" t="s">
        <v>66</v>
      </c>
      <c r="C394" s="1" t="s">
        <v>80</v>
      </c>
      <c r="D394" s="1" t="s">
        <v>283</v>
      </c>
      <c r="E394" s="1" t="s">
        <v>273</v>
      </c>
      <c r="F394" s="1" t="s">
        <v>12</v>
      </c>
      <c r="G394" s="1" t="n">
        <v>67482</v>
      </c>
      <c r="H394" s="1" t="s">
        <v>13</v>
      </c>
    </row>
    <row r="395" customFormat="false" ht="15" hidden="false" customHeight="true" outlineLevel="0" collapsed="false">
      <c r="A395" s="1" t="s">
        <v>39</v>
      </c>
      <c r="B395" s="1" t="s">
        <v>66</v>
      </c>
      <c r="C395" s="1" t="s">
        <v>70</v>
      </c>
      <c r="D395" s="1" t="s">
        <v>283</v>
      </c>
      <c r="E395" s="1" t="s">
        <v>284</v>
      </c>
      <c r="F395" s="1" t="s">
        <v>12</v>
      </c>
      <c r="G395" s="1" t="n">
        <v>135896</v>
      </c>
      <c r="H395" s="1" t="s">
        <v>13</v>
      </c>
    </row>
    <row r="396" customFormat="false" ht="15" hidden="false" customHeight="true" outlineLevel="0" collapsed="false">
      <c r="A396" s="1" t="s">
        <v>39</v>
      </c>
      <c r="B396" s="1" t="s">
        <v>66</v>
      </c>
      <c r="C396" s="1" t="s">
        <v>106</v>
      </c>
      <c r="D396" s="1" t="s">
        <v>285</v>
      </c>
      <c r="E396" s="1" t="s">
        <v>286</v>
      </c>
      <c r="F396" s="1" t="s">
        <v>12</v>
      </c>
      <c r="G396" s="1" t="n">
        <v>172000</v>
      </c>
      <c r="H396" s="1" t="s">
        <v>13</v>
      </c>
    </row>
    <row r="397" customFormat="false" ht="15" hidden="false" customHeight="true" outlineLevel="0" collapsed="false">
      <c r="A397" s="1" t="s">
        <v>39</v>
      </c>
      <c r="B397" s="1" t="s">
        <v>66</v>
      </c>
      <c r="C397" s="1" t="s">
        <v>80</v>
      </c>
      <c r="D397" s="1" t="s">
        <v>283</v>
      </c>
      <c r="E397" s="1" t="s">
        <v>274</v>
      </c>
      <c r="F397" s="1" t="s">
        <v>12</v>
      </c>
      <c r="G397" s="1" t="n">
        <v>216568</v>
      </c>
      <c r="H397" s="1" t="s">
        <v>13</v>
      </c>
    </row>
    <row r="398" customFormat="false" ht="15" hidden="false" customHeight="true" outlineLevel="0" collapsed="false">
      <c r="A398" s="1" t="s">
        <v>39</v>
      </c>
      <c r="B398" s="1" t="s">
        <v>66</v>
      </c>
      <c r="C398" s="1" t="s">
        <v>67</v>
      </c>
      <c r="D398" s="1" t="s">
        <v>287</v>
      </c>
      <c r="E398" s="1" t="s">
        <v>244</v>
      </c>
      <c r="F398" s="1" t="s">
        <v>12</v>
      </c>
      <c r="G398" s="1" t="n">
        <v>252000</v>
      </c>
      <c r="H398" s="1" t="s">
        <v>13</v>
      </c>
    </row>
    <row r="399" customFormat="false" ht="15" hidden="false" customHeight="true" outlineLevel="0" collapsed="false">
      <c r="A399" s="1" t="s">
        <v>39</v>
      </c>
      <c r="B399" s="1" t="s">
        <v>66</v>
      </c>
      <c r="C399" s="1" t="s">
        <v>90</v>
      </c>
      <c r="D399" s="1" t="s">
        <v>288</v>
      </c>
      <c r="E399" s="1" t="s">
        <v>289</v>
      </c>
      <c r="F399" s="1" t="s">
        <v>12</v>
      </c>
      <c r="G399" s="1" t="n">
        <v>200000</v>
      </c>
      <c r="H399" s="1" t="s">
        <v>13</v>
      </c>
    </row>
    <row r="400" customFormat="false" ht="15" hidden="false" customHeight="true" outlineLevel="0" collapsed="false">
      <c r="A400" s="1" t="s">
        <v>39</v>
      </c>
      <c r="B400" s="1" t="s">
        <v>66</v>
      </c>
      <c r="C400" s="1" t="s">
        <v>80</v>
      </c>
      <c r="D400" s="1" t="s">
        <v>290</v>
      </c>
      <c r="E400" s="1" t="s">
        <v>273</v>
      </c>
      <c r="F400" s="1" t="s">
        <v>12</v>
      </c>
      <c r="G400" s="1" t="n">
        <v>307699</v>
      </c>
      <c r="H400" s="1" t="s">
        <v>13</v>
      </c>
    </row>
    <row r="401" customFormat="false" ht="15" hidden="false" customHeight="true" outlineLevel="0" collapsed="false">
      <c r="A401" s="1" t="s">
        <v>39</v>
      </c>
      <c r="B401" s="1" t="s">
        <v>66</v>
      </c>
      <c r="C401" s="1" t="s">
        <v>96</v>
      </c>
      <c r="D401" s="1" t="s">
        <v>291</v>
      </c>
      <c r="E401" s="1" t="s">
        <v>292</v>
      </c>
      <c r="F401" s="1" t="s">
        <v>12</v>
      </c>
      <c r="G401" s="1" t="n">
        <v>70384</v>
      </c>
      <c r="H401" s="1" t="s">
        <v>13</v>
      </c>
    </row>
    <row r="402" customFormat="false" ht="15" hidden="false" customHeight="true" outlineLevel="0" collapsed="false">
      <c r="A402" s="1" t="s">
        <v>39</v>
      </c>
      <c r="B402" s="1" t="s">
        <v>66</v>
      </c>
      <c r="C402" s="1" t="s">
        <v>80</v>
      </c>
      <c r="D402" s="1" t="s">
        <v>290</v>
      </c>
      <c r="E402" s="1" t="s">
        <v>246</v>
      </c>
      <c r="F402" s="1" t="s">
        <v>12</v>
      </c>
      <c r="G402" s="1" t="n">
        <v>815782</v>
      </c>
      <c r="H402" s="1" t="s">
        <v>13</v>
      </c>
    </row>
    <row r="403" customFormat="false" ht="15" hidden="false" customHeight="true" outlineLevel="0" collapsed="false">
      <c r="A403" s="1" t="s">
        <v>39</v>
      </c>
      <c r="B403" s="1" t="s">
        <v>66</v>
      </c>
      <c r="C403" s="1" t="s">
        <v>95</v>
      </c>
      <c r="D403" s="1" t="s">
        <v>152</v>
      </c>
      <c r="E403" s="1" t="s">
        <v>252</v>
      </c>
      <c r="F403" s="1" t="s">
        <v>12</v>
      </c>
      <c r="G403" s="1" t="n">
        <v>291772</v>
      </c>
      <c r="H403" s="1" t="s">
        <v>13</v>
      </c>
    </row>
    <row r="404" customFormat="false" ht="15" hidden="false" customHeight="true" outlineLevel="0" collapsed="false">
      <c r="A404" s="1" t="s">
        <v>39</v>
      </c>
      <c r="B404" s="1" t="s">
        <v>66</v>
      </c>
      <c r="C404" s="1" t="s">
        <v>70</v>
      </c>
      <c r="D404" s="1" t="s">
        <v>293</v>
      </c>
      <c r="E404" s="1" t="s">
        <v>294</v>
      </c>
      <c r="F404" s="1" t="s">
        <v>12</v>
      </c>
      <c r="G404" s="1" t="n">
        <v>103000</v>
      </c>
      <c r="H404" s="1" t="s">
        <v>13</v>
      </c>
    </row>
    <row r="405" customFormat="false" ht="15" hidden="false" customHeight="true" outlineLevel="0" collapsed="false">
      <c r="A405" s="1" t="s">
        <v>39</v>
      </c>
      <c r="B405" s="1" t="s">
        <v>66</v>
      </c>
      <c r="C405" s="1" t="s">
        <v>67</v>
      </c>
      <c r="D405" s="1" t="s">
        <v>293</v>
      </c>
      <c r="E405" s="1" t="s">
        <v>244</v>
      </c>
      <c r="F405" s="1" t="s">
        <v>12</v>
      </c>
      <c r="G405" s="1" t="n">
        <v>175000</v>
      </c>
      <c r="H405" s="1" t="s">
        <v>13</v>
      </c>
    </row>
    <row r="406" customFormat="false" ht="15" hidden="false" customHeight="true" outlineLevel="0" collapsed="false">
      <c r="A406" s="1" t="s">
        <v>39</v>
      </c>
      <c r="B406" s="1" t="s">
        <v>10</v>
      </c>
      <c r="E406" s="1" t="s">
        <v>249</v>
      </c>
      <c r="F406" s="1" t="s">
        <v>18</v>
      </c>
      <c r="G406" s="1" t="n">
        <v>22727</v>
      </c>
      <c r="H406" s="1" t="s">
        <v>13</v>
      </c>
    </row>
    <row r="407" customFormat="false" ht="15" hidden="false" customHeight="true" outlineLevel="0" collapsed="false">
      <c r="A407" s="1" t="s">
        <v>39</v>
      </c>
      <c r="B407" s="1" t="s">
        <v>66</v>
      </c>
      <c r="C407" s="1" t="s">
        <v>80</v>
      </c>
      <c r="D407" s="1" t="s">
        <v>218</v>
      </c>
      <c r="E407" s="1" t="s">
        <v>295</v>
      </c>
      <c r="F407" s="1" t="s">
        <v>12</v>
      </c>
      <c r="G407" s="1" t="n">
        <v>115276</v>
      </c>
      <c r="H407" s="1" t="s">
        <v>13</v>
      </c>
    </row>
    <row r="408" customFormat="false" ht="15" hidden="false" customHeight="true" outlineLevel="0" collapsed="false">
      <c r="A408" s="1" t="s">
        <v>39</v>
      </c>
      <c r="B408" s="1" t="s">
        <v>27</v>
      </c>
      <c r="E408" s="1" t="s">
        <v>248</v>
      </c>
      <c r="F408" s="1" t="s">
        <v>12</v>
      </c>
      <c r="G408" s="1" t="n">
        <v>15928</v>
      </c>
      <c r="H408" s="1" t="s">
        <v>13</v>
      </c>
    </row>
    <row r="409" customFormat="false" ht="15" hidden="false" customHeight="true" outlineLevel="0" collapsed="false">
      <c r="A409" s="1" t="s">
        <v>39</v>
      </c>
      <c r="B409" s="1" t="s">
        <v>21</v>
      </c>
      <c r="D409" s="1" t="s">
        <v>218</v>
      </c>
      <c r="E409" s="1" t="s">
        <v>281</v>
      </c>
      <c r="F409" s="1" t="s">
        <v>12</v>
      </c>
      <c r="G409" s="1" t="n">
        <v>139920</v>
      </c>
      <c r="H409" s="1" t="s">
        <v>13</v>
      </c>
    </row>
    <row r="410" customFormat="false" ht="15" hidden="false" customHeight="true" outlineLevel="0" collapsed="false">
      <c r="A410" s="1" t="s">
        <v>40</v>
      </c>
      <c r="B410" s="1" t="s">
        <v>66</v>
      </c>
      <c r="C410" s="1" t="s">
        <v>75</v>
      </c>
      <c r="D410" s="1" t="s">
        <v>296</v>
      </c>
      <c r="E410" s="1" t="s">
        <v>297</v>
      </c>
      <c r="F410" s="1" t="s">
        <v>12</v>
      </c>
      <c r="G410" s="1" t="n">
        <v>440300</v>
      </c>
      <c r="H410" s="1" t="s">
        <v>13</v>
      </c>
    </row>
    <row r="411" customFormat="false" ht="15" hidden="false" customHeight="true" outlineLevel="0" collapsed="false">
      <c r="A411" s="1" t="s">
        <v>40</v>
      </c>
      <c r="B411" s="1" t="s">
        <v>66</v>
      </c>
      <c r="C411" s="1" t="s">
        <v>106</v>
      </c>
      <c r="D411" s="1" t="s">
        <v>298</v>
      </c>
      <c r="E411" s="1" t="s">
        <v>299</v>
      </c>
      <c r="F411" s="1" t="s">
        <v>12</v>
      </c>
      <c r="G411" s="1" t="n">
        <v>172000</v>
      </c>
      <c r="H411" s="1" t="s">
        <v>13</v>
      </c>
    </row>
    <row r="412" customFormat="false" ht="15" hidden="false" customHeight="true" outlineLevel="0" collapsed="false">
      <c r="A412" s="1" t="s">
        <v>39</v>
      </c>
      <c r="B412" s="1" t="s">
        <v>66</v>
      </c>
      <c r="C412" s="1" t="s">
        <v>96</v>
      </c>
      <c r="D412" s="1" t="s">
        <v>221</v>
      </c>
      <c r="E412" s="1" t="s">
        <v>292</v>
      </c>
      <c r="F412" s="1" t="s">
        <v>12</v>
      </c>
      <c r="G412" s="1" t="n">
        <v>65806</v>
      </c>
      <c r="H412" s="1" t="s">
        <v>13</v>
      </c>
    </row>
    <row r="413" customFormat="false" ht="15" hidden="false" customHeight="true" outlineLevel="0" collapsed="false">
      <c r="A413" s="1" t="s">
        <v>39</v>
      </c>
      <c r="B413" s="1" t="s">
        <v>66</v>
      </c>
      <c r="C413" s="1" t="s">
        <v>96</v>
      </c>
      <c r="D413" s="1" t="s">
        <v>300</v>
      </c>
      <c r="E413" s="1" t="s">
        <v>301</v>
      </c>
      <c r="F413" s="1" t="s">
        <v>12</v>
      </c>
      <c r="G413" s="1" t="n">
        <v>-65860</v>
      </c>
      <c r="H413" s="1" t="s">
        <v>13</v>
      </c>
    </row>
    <row r="414" customFormat="false" ht="15" hidden="false" customHeight="true" outlineLevel="0" collapsed="false">
      <c r="A414" s="1" t="s">
        <v>39</v>
      </c>
      <c r="B414" s="1" t="s">
        <v>66</v>
      </c>
      <c r="C414" s="1" t="s">
        <v>95</v>
      </c>
      <c r="D414" s="1" t="s">
        <v>135</v>
      </c>
      <c r="E414" s="1" t="s">
        <v>302</v>
      </c>
      <c r="F414" s="1" t="s">
        <v>12</v>
      </c>
      <c r="G414" s="1" t="n">
        <v>305000</v>
      </c>
      <c r="H414" s="1" t="s">
        <v>13</v>
      </c>
    </row>
    <row r="415" customFormat="false" ht="15" hidden="false" customHeight="true" outlineLevel="0" collapsed="false">
      <c r="A415" s="1" t="s">
        <v>39</v>
      </c>
      <c r="B415" s="1" t="s">
        <v>29</v>
      </c>
      <c r="E415" s="1" t="s">
        <v>34</v>
      </c>
      <c r="F415" s="1" t="s">
        <v>18</v>
      </c>
      <c r="G415" s="1" t="n">
        <v>58534</v>
      </c>
      <c r="H415" s="1" t="s">
        <v>13</v>
      </c>
    </row>
    <row r="416" customFormat="false" ht="15" hidden="false" customHeight="true" outlineLevel="0" collapsed="false">
      <c r="A416" s="1" t="s">
        <v>39</v>
      </c>
      <c r="B416" s="1" t="s">
        <v>66</v>
      </c>
      <c r="C416" s="1" t="s">
        <v>96</v>
      </c>
      <c r="D416" s="1" t="s">
        <v>303</v>
      </c>
      <c r="E416" s="1" t="s">
        <v>292</v>
      </c>
      <c r="F416" s="1" t="s">
        <v>12</v>
      </c>
      <c r="G416" s="1" t="n">
        <v>93993</v>
      </c>
      <c r="H416" s="1" t="s">
        <v>13</v>
      </c>
    </row>
    <row r="417" customFormat="false" ht="15" hidden="false" customHeight="true" outlineLevel="0" collapsed="false">
      <c r="A417" s="1" t="s">
        <v>40</v>
      </c>
      <c r="B417" s="1" t="s">
        <v>66</v>
      </c>
      <c r="C417" s="1" t="s">
        <v>80</v>
      </c>
      <c r="D417" s="1" t="s">
        <v>304</v>
      </c>
      <c r="E417" s="1" t="s">
        <v>246</v>
      </c>
      <c r="F417" s="1" t="s">
        <v>12</v>
      </c>
      <c r="G417" s="1" t="n">
        <v>163150</v>
      </c>
      <c r="H417" s="1" t="s">
        <v>13</v>
      </c>
    </row>
    <row r="418" customFormat="false" ht="15" hidden="false" customHeight="true" outlineLevel="0" collapsed="false">
      <c r="A418" s="1" t="s">
        <v>40</v>
      </c>
      <c r="B418" s="1" t="s">
        <v>66</v>
      </c>
      <c r="C418" s="1" t="s">
        <v>70</v>
      </c>
      <c r="D418" s="1" t="s">
        <v>305</v>
      </c>
      <c r="E418" s="1" t="s">
        <v>172</v>
      </c>
      <c r="F418" s="1" t="s">
        <v>12</v>
      </c>
      <c r="G418" s="1" t="n">
        <v>360000</v>
      </c>
      <c r="H418" s="1" t="s">
        <v>13</v>
      </c>
    </row>
    <row r="419" customFormat="false" ht="15" hidden="false" customHeight="true" outlineLevel="0" collapsed="false">
      <c r="A419" s="1" t="s">
        <v>40</v>
      </c>
      <c r="B419" s="1" t="s">
        <v>66</v>
      </c>
      <c r="C419" s="1" t="s">
        <v>80</v>
      </c>
      <c r="D419" s="1" t="s">
        <v>305</v>
      </c>
      <c r="E419" s="1" t="s">
        <v>295</v>
      </c>
      <c r="F419" s="1" t="s">
        <v>12</v>
      </c>
      <c r="G419" s="1" t="n">
        <v>52150</v>
      </c>
      <c r="H419" s="1" t="s">
        <v>13</v>
      </c>
    </row>
    <row r="420" customFormat="false" ht="15" hidden="false" customHeight="true" outlineLevel="0" collapsed="false">
      <c r="A420" s="1" t="s">
        <v>40</v>
      </c>
      <c r="B420" s="1" t="s">
        <v>66</v>
      </c>
      <c r="C420" s="1" t="s">
        <v>80</v>
      </c>
      <c r="D420" s="1" t="s">
        <v>305</v>
      </c>
      <c r="E420" s="1" t="s">
        <v>306</v>
      </c>
      <c r="F420" s="1" t="s">
        <v>12</v>
      </c>
      <c r="G420" s="1" t="n">
        <v>84900</v>
      </c>
      <c r="H420" s="1" t="s">
        <v>13</v>
      </c>
    </row>
    <row r="421" customFormat="false" ht="15" hidden="false" customHeight="true" outlineLevel="0" collapsed="false">
      <c r="A421" s="1" t="s">
        <v>40</v>
      </c>
      <c r="B421" s="1" t="s">
        <v>66</v>
      </c>
      <c r="C421" s="1" t="s">
        <v>80</v>
      </c>
      <c r="D421" s="1" t="s">
        <v>305</v>
      </c>
      <c r="E421" s="1" t="s">
        <v>307</v>
      </c>
      <c r="F421" s="1" t="s">
        <v>12</v>
      </c>
      <c r="G421" s="1" t="n">
        <v>648804</v>
      </c>
      <c r="H421" s="1" t="s">
        <v>13</v>
      </c>
    </row>
    <row r="422" customFormat="false" ht="15" hidden="false" customHeight="true" outlineLevel="0" collapsed="false">
      <c r="A422" s="1" t="s">
        <v>40</v>
      </c>
      <c r="B422" s="1" t="s">
        <v>66</v>
      </c>
      <c r="C422" s="1" t="s">
        <v>80</v>
      </c>
      <c r="D422" s="1" t="s">
        <v>305</v>
      </c>
      <c r="E422" s="1" t="s">
        <v>246</v>
      </c>
      <c r="F422" s="1" t="s">
        <v>12</v>
      </c>
      <c r="G422" s="1" t="n">
        <v>781672</v>
      </c>
      <c r="H422" s="1" t="s">
        <v>13</v>
      </c>
    </row>
    <row r="423" customFormat="false" ht="15" hidden="false" customHeight="true" outlineLevel="0" collapsed="false">
      <c r="A423" s="1" t="s">
        <v>40</v>
      </c>
      <c r="B423" s="1" t="s">
        <v>29</v>
      </c>
      <c r="E423" s="1" t="s">
        <v>127</v>
      </c>
      <c r="F423" s="1" t="s">
        <v>18</v>
      </c>
      <c r="G423" s="1" t="n">
        <v>132190</v>
      </c>
      <c r="H423" s="1" t="s">
        <v>13</v>
      </c>
    </row>
    <row r="424" customFormat="false" ht="15" hidden="false" customHeight="true" outlineLevel="0" collapsed="false">
      <c r="A424" s="1" t="s">
        <v>40</v>
      </c>
      <c r="B424" s="1" t="s">
        <v>66</v>
      </c>
      <c r="C424" s="1" t="s">
        <v>75</v>
      </c>
      <c r="D424" s="1" t="s">
        <v>308</v>
      </c>
      <c r="E424" s="1" t="s">
        <v>309</v>
      </c>
      <c r="F424" s="1" t="s">
        <v>12</v>
      </c>
      <c r="G424" s="1" t="n">
        <v>140000</v>
      </c>
      <c r="H424" s="1" t="s">
        <v>13</v>
      </c>
    </row>
    <row r="425" customFormat="false" ht="15" hidden="false" customHeight="true" outlineLevel="0" collapsed="false">
      <c r="A425" s="1" t="s">
        <v>40</v>
      </c>
      <c r="B425" s="1" t="s">
        <v>66</v>
      </c>
      <c r="C425" s="1" t="s">
        <v>75</v>
      </c>
      <c r="D425" s="1" t="s">
        <v>308</v>
      </c>
      <c r="E425" s="1" t="s">
        <v>310</v>
      </c>
      <c r="F425" s="1" t="s">
        <v>12</v>
      </c>
      <c r="G425" s="1" t="n">
        <v>30000</v>
      </c>
      <c r="H425" s="1" t="s">
        <v>13</v>
      </c>
    </row>
    <row r="426" customFormat="false" ht="15" hidden="false" customHeight="true" outlineLevel="0" collapsed="false">
      <c r="A426" s="1" t="s">
        <v>40</v>
      </c>
      <c r="B426" s="1" t="s">
        <v>66</v>
      </c>
      <c r="C426" s="1" t="s">
        <v>67</v>
      </c>
      <c r="D426" s="1" t="s">
        <v>225</v>
      </c>
      <c r="E426" s="1" t="s">
        <v>244</v>
      </c>
      <c r="F426" s="1" t="s">
        <v>12</v>
      </c>
      <c r="G426" s="1" t="n">
        <v>82000</v>
      </c>
      <c r="H426" s="1" t="s">
        <v>13</v>
      </c>
    </row>
    <row r="427" customFormat="false" ht="15" hidden="false" customHeight="true" outlineLevel="0" collapsed="false">
      <c r="A427" s="1" t="s">
        <v>40</v>
      </c>
      <c r="B427" s="1" t="s">
        <v>66</v>
      </c>
      <c r="C427" s="1" t="s">
        <v>95</v>
      </c>
      <c r="D427" s="1" t="s">
        <v>311</v>
      </c>
      <c r="E427" s="1" t="s">
        <v>302</v>
      </c>
      <c r="F427" s="1" t="s">
        <v>12</v>
      </c>
      <c r="G427" s="1" t="n">
        <v>312133</v>
      </c>
      <c r="H427" s="1" t="s">
        <v>13</v>
      </c>
    </row>
    <row r="428" customFormat="false" ht="15" hidden="false" customHeight="true" outlineLevel="0" collapsed="false">
      <c r="A428" s="1" t="s">
        <v>40</v>
      </c>
      <c r="B428" s="1" t="s">
        <v>66</v>
      </c>
      <c r="C428" s="1" t="s">
        <v>167</v>
      </c>
      <c r="D428" s="1" t="s">
        <v>311</v>
      </c>
      <c r="E428" s="1" t="s">
        <v>312</v>
      </c>
      <c r="F428" s="1" t="s">
        <v>12</v>
      </c>
      <c r="G428" s="1" t="n">
        <v>261000</v>
      </c>
      <c r="H428" s="1" t="s">
        <v>13</v>
      </c>
    </row>
    <row r="429" customFormat="false" ht="15" hidden="false" customHeight="true" outlineLevel="0" collapsed="false">
      <c r="A429" s="1" t="s">
        <v>40</v>
      </c>
      <c r="B429" s="1" t="s">
        <v>161</v>
      </c>
      <c r="D429" s="1" t="s">
        <v>226</v>
      </c>
      <c r="E429" s="1" t="s">
        <v>313</v>
      </c>
      <c r="F429" s="1" t="s">
        <v>12</v>
      </c>
      <c r="G429" s="1" t="n">
        <v>2392425</v>
      </c>
      <c r="H429" s="1" t="s">
        <v>13</v>
      </c>
    </row>
    <row r="430" customFormat="false" ht="15" hidden="false" customHeight="true" outlineLevel="0" collapsed="false">
      <c r="A430" s="1" t="s">
        <v>40</v>
      </c>
      <c r="B430" s="1" t="s">
        <v>66</v>
      </c>
      <c r="C430" s="1" t="s">
        <v>67</v>
      </c>
      <c r="D430" s="1" t="s">
        <v>314</v>
      </c>
      <c r="E430" s="1" t="s">
        <v>244</v>
      </c>
      <c r="F430" s="1" t="s">
        <v>12</v>
      </c>
      <c r="G430" s="1" t="n">
        <v>143000</v>
      </c>
      <c r="H430" s="1" t="s">
        <v>13</v>
      </c>
    </row>
    <row r="431" customFormat="false" ht="15" hidden="false" customHeight="true" outlineLevel="0" collapsed="false">
      <c r="A431" s="1" t="s">
        <v>40</v>
      </c>
      <c r="B431" s="1" t="s">
        <v>66</v>
      </c>
      <c r="C431" s="1" t="s">
        <v>80</v>
      </c>
      <c r="D431" s="1" t="s">
        <v>296</v>
      </c>
      <c r="E431" s="1" t="s">
        <v>273</v>
      </c>
      <c r="F431" s="1" t="s">
        <v>12</v>
      </c>
      <c r="G431" s="1" t="n">
        <v>364400</v>
      </c>
      <c r="H431" s="1" t="s">
        <v>13</v>
      </c>
    </row>
    <row r="432" customFormat="false" ht="15" hidden="false" customHeight="true" outlineLevel="0" collapsed="false">
      <c r="A432" s="1" t="s">
        <v>40</v>
      </c>
      <c r="B432" s="1" t="s">
        <v>66</v>
      </c>
      <c r="C432" s="1" t="s">
        <v>80</v>
      </c>
      <c r="D432" s="1" t="s">
        <v>296</v>
      </c>
      <c r="E432" s="1" t="s">
        <v>295</v>
      </c>
      <c r="F432" s="1" t="s">
        <v>12</v>
      </c>
      <c r="G432" s="1" t="n">
        <v>74761</v>
      </c>
      <c r="H432" s="1" t="s">
        <v>13</v>
      </c>
    </row>
    <row r="433" customFormat="false" ht="15" hidden="false" customHeight="true" outlineLevel="0" collapsed="false">
      <c r="A433" s="1" t="s">
        <v>40</v>
      </c>
      <c r="B433" s="1" t="s">
        <v>10</v>
      </c>
      <c r="E433" s="1" t="s">
        <v>249</v>
      </c>
      <c r="F433" s="1" t="s">
        <v>18</v>
      </c>
      <c r="G433" s="1" t="n">
        <v>22727</v>
      </c>
      <c r="H433" s="1" t="s">
        <v>13</v>
      </c>
    </row>
    <row r="434" customFormat="false" ht="15" hidden="false" customHeight="true" outlineLevel="0" collapsed="false">
      <c r="A434" s="1" t="s">
        <v>40</v>
      </c>
      <c r="B434" s="1" t="s">
        <v>27</v>
      </c>
      <c r="E434" s="1" t="s">
        <v>248</v>
      </c>
      <c r="F434" s="1" t="s">
        <v>12</v>
      </c>
      <c r="G434" s="1" t="n">
        <v>18773</v>
      </c>
      <c r="H434" s="1" t="s">
        <v>13</v>
      </c>
    </row>
    <row r="435" customFormat="false" ht="15" hidden="false" customHeight="true" outlineLevel="0" collapsed="false">
      <c r="A435" s="1" t="s">
        <v>41</v>
      </c>
      <c r="B435" s="1" t="s">
        <v>66</v>
      </c>
      <c r="C435" s="1" t="s">
        <v>75</v>
      </c>
      <c r="D435" s="1" t="s">
        <v>315</v>
      </c>
      <c r="E435" s="1" t="s">
        <v>316</v>
      </c>
      <c r="F435" s="1" t="s">
        <v>12</v>
      </c>
      <c r="G435" s="1" t="n">
        <v>440300</v>
      </c>
      <c r="H435" s="1" t="s">
        <v>13</v>
      </c>
    </row>
    <row r="436" customFormat="false" ht="15" hidden="false" customHeight="true" outlineLevel="0" collapsed="false">
      <c r="A436" s="1" t="s">
        <v>41</v>
      </c>
      <c r="B436" s="1" t="s">
        <v>161</v>
      </c>
      <c r="D436" s="1" t="s">
        <v>317</v>
      </c>
      <c r="E436" s="1" t="s">
        <v>318</v>
      </c>
      <c r="F436" s="1" t="s">
        <v>12</v>
      </c>
      <c r="G436" s="1" t="n">
        <v>2392425</v>
      </c>
      <c r="H436" s="1" t="s">
        <v>13</v>
      </c>
    </row>
    <row r="437" customFormat="false" ht="15" hidden="false" customHeight="true" outlineLevel="0" collapsed="false">
      <c r="A437" s="1" t="s">
        <v>40</v>
      </c>
      <c r="B437" s="1" t="s">
        <v>66</v>
      </c>
      <c r="C437" s="1" t="s">
        <v>67</v>
      </c>
      <c r="D437" s="1" t="s">
        <v>319</v>
      </c>
      <c r="E437" s="1" t="s">
        <v>244</v>
      </c>
      <c r="F437" s="1" t="s">
        <v>12</v>
      </c>
      <c r="G437" s="1" t="n">
        <v>243000</v>
      </c>
      <c r="H437" s="1" t="s">
        <v>13</v>
      </c>
    </row>
    <row r="438" customFormat="false" ht="15" hidden="false" customHeight="true" outlineLevel="0" collapsed="false">
      <c r="A438" s="1" t="s">
        <v>40</v>
      </c>
      <c r="B438" s="1" t="s">
        <v>29</v>
      </c>
      <c r="E438" s="1" t="s">
        <v>34</v>
      </c>
      <c r="F438" s="1" t="s">
        <v>18</v>
      </c>
      <c r="G438" s="1" t="n">
        <v>55994</v>
      </c>
      <c r="H438" s="1" t="s">
        <v>13</v>
      </c>
    </row>
    <row r="439" customFormat="false" ht="15" hidden="false" customHeight="true" outlineLevel="0" collapsed="false">
      <c r="A439" s="1" t="s">
        <v>41</v>
      </c>
      <c r="B439" s="1" t="s">
        <v>66</v>
      </c>
      <c r="C439" s="1" t="s">
        <v>95</v>
      </c>
      <c r="D439" s="1" t="s">
        <v>320</v>
      </c>
      <c r="E439" s="1" t="s">
        <v>252</v>
      </c>
      <c r="F439" s="1" t="s">
        <v>12</v>
      </c>
      <c r="G439" s="1" t="n">
        <v>308968</v>
      </c>
      <c r="H439" s="1" t="s">
        <v>13</v>
      </c>
    </row>
    <row r="440" customFormat="false" ht="15" hidden="false" customHeight="true" outlineLevel="0" collapsed="false">
      <c r="A440" s="1" t="s">
        <v>41</v>
      </c>
      <c r="B440" s="1" t="s">
        <v>66</v>
      </c>
      <c r="C440" s="1" t="s">
        <v>67</v>
      </c>
      <c r="D440" s="1" t="s">
        <v>321</v>
      </c>
      <c r="E440" s="1" t="s">
        <v>244</v>
      </c>
      <c r="F440" s="1" t="s">
        <v>12</v>
      </c>
      <c r="G440" s="1" t="n">
        <v>107000</v>
      </c>
      <c r="H440" s="1" t="s">
        <v>13</v>
      </c>
    </row>
    <row r="441" customFormat="false" ht="15" hidden="false" customHeight="true" outlineLevel="0" collapsed="false">
      <c r="A441" s="1" t="s">
        <v>41</v>
      </c>
      <c r="B441" s="1" t="s">
        <v>21</v>
      </c>
      <c r="D441" s="1" t="s">
        <v>322</v>
      </c>
      <c r="E441" s="1" t="s">
        <v>323</v>
      </c>
      <c r="F441" s="1" t="s">
        <v>12</v>
      </c>
      <c r="G441" s="1" t="n">
        <v>50000</v>
      </c>
      <c r="H441" s="1" t="s">
        <v>13</v>
      </c>
    </row>
    <row r="442" customFormat="false" ht="15" hidden="false" customHeight="true" outlineLevel="0" collapsed="false">
      <c r="A442" s="1" t="s">
        <v>41</v>
      </c>
      <c r="B442" s="1" t="s">
        <v>66</v>
      </c>
      <c r="C442" s="1" t="s">
        <v>80</v>
      </c>
      <c r="D442" s="1" t="s">
        <v>322</v>
      </c>
      <c r="E442" s="1" t="s">
        <v>324</v>
      </c>
      <c r="F442" s="1" t="s">
        <v>12</v>
      </c>
      <c r="G442" s="1" t="n">
        <v>435994</v>
      </c>
      <c r="H442" s="1" t="s">
        <v>13</v>
      </c>
    </row>
    <row r="443" customFormat="false" ht="15" hidden="false" customHeight="true" outlineLevel="0" collapsed="false">
      <c r="A443" s="1" t="s">
        <v>41</v>
      </c>
      <c r="B443" s="1" t="s">
        <v>29</v>
      </c>
      <c r="E443" s="1" t="s">
        <v>127</v>
      </c>
      <c r="F443" s="1" t="s">
        <v>18</v>
      </c>
      <c r="G443" s="1" t="n">
        <v>121469</v>
      </c>
      <c r="H443" s="1" t="s">
        <v>13</v>
      </c>
    </row>
    <row r="444" customFormat="false" ht="15" hidden="false" customHeight="true" outlineLevel="0" collapsed="false">
      <c r="A444" s="1" t="s">
        <v>41</v>
      </c>
      <c r="B444" s="1" t="s">
        <v>66</v>
      </c>
      <c r="C444" s="1" t="s">
        <v>96</v>
      </c>
      <c r="D444" s="1" t="s">
        <v>202</v>
      </c>
      <c r="E444" s="1" t="s">
        <v>292</v>
      </c>
      <c r="F444" s="1" t="s">
        <v>12</v>
      </c>
      <c r="G444" s="1" t="n">
        <v>73327</v>
      </c>
      <c r="H444" s="1" t="s">
        <v>13</v>
      </c>
    </row>
    <row r="445" customFormat="false" ht="15" hidden="false" customHeight="true" outlineLevel="0" collapsed="false">
      <c r="A445" s="1" t="s">
        <v>41</v>
      </c>
      <c r="B445" s="1" t="s">
        <v>66</v>
      </c>
      <c r="C445" s="1" t="s">
        <v>67</v>
      </c>
      <c r="D445" s="1" t="s">
        <v>325</v>
      </c>
      <c r="E445" s="1" t="s">
        <v>244</v>
      </c>
      <c r="F445" s="1" t="s">
        <v>12</v>
      </c>
      <c r="G445" s="1" t="n">
        <v>214000</v>
      </c>
      <c r="H445" s="1" t="s">
        <v>13</v>
      </c>
    </row>
    <row r="446" customFormat="false" ht="15" hidden="false" customHeight="true" outlineLevel="0" collapsed="false">
      <c r="A446" s="1" t="s">
        <v>41</v>
      </c>
      <c r="B446" s="1" t="s">
        <v>66</v>
      </c>
      <c r="C446" s="1" t="s">
        <v>167</v>
      </c>
      <c r="D446" s="1" t="s">
        <v>325</v>
      </c>
      <c r="E446" s="1" t="s">
        <v>326</v>
      </c>
      <c r="F446" s="1" t="s">
        <v>12</v>
      </c>
      <c r="G446" s="1" t="n">
        <v>56000</v>
      </c>
      <c r="H446" s="1" t="s">
        <v>13</v>
      </c>
    </row>
    <row r="447" customFormat="false" ht="15" hidden="false" customHeight="true" outlineLevel="0" collapsed="false">
      <c r="A447" s="1" t="s">
        <v>41</v>
      </c>
      <c r="B447" s="1" t="s">
        <v>161</v>
      </c>
      <c r="D447" s="1" t="s">
        <v>327</v>
      </c>
      <c r="E447" s="1" t="s">
        <v>328</v>
      </c>
      <c r="F447" s="1" t="s">
        <v>12</v>
      </c>
      <c r="G447" s="1" t="n">
        <v>425242</v>
      </c>
      <c r="H447" s="1" t="s">
        <v>13</v>
      </c>
    </row>
    <row r="448" customFormat="false" ht="15" hidden="false" customHeight="true" outlineLevel="0" collapsed="false">
      <c r="A448" s="1" t="s">
        <v>41</v>
      </c>
      <c r="B448" s="1" t="s">
        <v>161</v>
      </c>
      <c r="D448" s="1" t="s">
        <v>204</v>
      </c>
      <c r="E448" s="1" t="s">
        <v>329</v>
      </c>
      <c r="F448" s="1" t="s">
        <v>12</v>
      </c>
      <c r="G448" s="1" t="n">
        <v>296076</v>
      </c>
      <c r="H448" s="1" t="s">
        <v>13</v>
      </c>
    </row>
    <row r="449" customFormat="false" ht="15" hidden="false" customHeight="true" outlineLevel="0" collapsed="false">
      <c r="A449" s="1" t="s">
        <v>41</v>
      </c>
      <c r="B449" s="1" t="s">
        <v>66</v>
      </c>
      <c r="C449" s="1" t="s">
        <v>80</v>
      </c>
      <c r="D449" s="1" t="s">
        <v>330</v>
      </c>
      <c r="E449" s="1" t="s">
        <v>246</v>
      </c>
      <c r="F449" s="1" t="s">
        <v>12</v>
      </c>
      <c r="G449" s="1" t="n">
        <v>619681</v>
      </c>
      <c r="H449" s="1" t="s">
        <v>13</v>
      </c>
    </row>
    <row r="450" customFormat="false" ht="15" hidden="false" customHeight="true" outlineLevel="0" collapsed="false">
      <c r="A450" s="1" t="s">
        <v>41</v>
      </c>
      <c r="B450" s="1" t="s">
        <v>66</v>
      </c>
      <c r="C450" s="1" t="s">
        <v>95</v>
      </c>
      <c r="D450" s="1" t="s">
        <v>331</v>
      </c>
      <c r="E450" s="1" t="s">
        <v>302</v>
      </c>
      <c r="F450" s="1" t="s">
        <v>12</v>
      </c>
      <c r="G450" s="1" t="n">
        <v>295000</v>
      </c>
      <c r="H450" s="1" t="s">
        <v>13</v>
      </c>
    </row>
    <row r="451" customFormat="false" ht="15" hidden="false" customHeight="true" outlineLevel="0" collapsed="false">
      <c r="A451" s="1" t="s">
        <v>41</v>
      </c>
      <c r="B451" s="1" t="s">
        <v>66</v>
      </c>
      <c r="C451" s="1" t="s">
        <v>96</v>
      </c>
      <c r="D451" s="1" t="s">
        <v>332</v>
      </c>
      <c r="E451" s="1" t="s">
        <v>292</v>
      </c>
      <c r="F451" s="1" t="s">
        <v>12</v>
      </c>
      <c r="G451" s="1" t="n">
        <v>61717</v>
      </c>
      <c r="H451" s="1" t="s">
        <v>13</v>
      </c>
    </row>
    <row r="452" customFormat="false" ht="15" hidden="false" customHeight="true" outlineLevel="0" collapsed="false">
      <c r="A452" s="1" t="s">
        <v>41</v>
      </c>
      <c r="B452" s="1" t="s">
        <v>161</v>
      </c>
      <c r="D452" s="1" t="s">
        <v>333</v>
      </c>
      <c r="E452" s="1" t="s">
        <v>334</v>
      </c>
      <c r="F452" s="1" t="s">
        <v>12</v>
      </c>
      <c r="G452" s="1" t="n">
        <v>277650</v>
      </c>
      <c r="H452" s="1" t="s">
        <v>13</v>
      </c>
    </row>
    <row r="453" customFormat="false" ht="15" hidden="false" customHeight="true" outlineLevel="0" collapsed="false">
      <c r="A453" s="1" t="s">
        <v>41</v>
      </c>
      <c r="B453" s="1" t="s">
        <v>66</v>
      </c>
      <c r="C453" s="1" t="s">
        <v>90</v>
      </c>
      <c r="D453" s="1" t="s">
        <v>333</v>
      </c>
      <c r="E453" s="1" t="s">
        <v>335</v>
      </c>
      <c r="F453" s="1" t="s">
        <v>12</v>
      </c>
      <c r="G453" s="1" t="n">
        <v>450185</v>
      </c>
      <c r="H453" s="1" t="s">
        <v>13</v>
      </c>
    </row>
    <row r="454" customFormat="false" ht="15" hidden="false" customHeight="true" outlineLevel="0" collapsed="false">
      <c r="A454" s="1" t="s">
        <v>41</v>
      </c>
      <c r="B454" s="1" t="s">
        <v>66</v>
      </c>
      <c r="C454" s="1" t="s">
        <v>67</v>
      </c>
      <c r="D454" s="1" t="s">
        <v>181</v>
      </c>
      <c r="E454" s="1" t="s">
        <v>244</v>
      </c>
      <c r="F454" s="1" t="s">
        <v>12</v>
      </c>
      <c r="G454" s="1" t="n">
        <v>112000</v>
      </c>
      <c r="H454" s="1" t="s">
        <v>13</v>
      </c>
    </row>
    <row r="455" customFormat="false" ht="15" hidden="false" customHeight="true" outlineLevel="0" collapsed="false">
      <c r="A455" s="1" t="s">
        <v>41</v>
      </c>
      <c r="B455" s="1" t="s">
        <v>66</v>
      </c>
      <c r="C455" s="1" t="s">
        <v>80</v>
      </c>
      <c r="D455" s="1" t="s">
        <v>336</v>
      </c>
      <c r="E455" s="1" t="s">
        <v>273</v>
      </c>
      <c r="F455" s="1" t="s">
        <v>12</v>
      </c>
      <c r="G455" s="1" t="n">
        <v>332275</v>
      </c>
      <c r="H455" s="1" t="s">
        <v>13</v>
      </c>
    </row>
    <row r="456" customFormat="false" ht="15" hidden="false" customHeight="true" outlineLevel="0" collapsed="false">
      <c r="A456" s="1" t="s">
        <v>41</v>
      </c>
      <c r="B456" s="1" t="s">
        <v>27</v>
      </c>
      <c r="E456" s="1" t="s">
        <v>248</v>
      </c>
      <c r="F456" s="1" t="s">
        <v>12</v>
      </c>
      <c r="G456" s="1" t="n">
        <v>13525</v>
      </c>
      <c r="H456" s="1" t="s">
        <v>13</v>
      </c>
    </row>
    <row r="457" customFormat="false" ht="15" hidden="false" customHeight="true" outlineLevel="0" collapsed="false">
      <c r="A457" s="1" t="s">
        <v>41</v>
      </c>
      <c r="B457" s="1" t="s">
        <v>10</v>
      </c>
      <c r="E457" s="1" t="s">
        <v>249</v>
      </c>
      <c r="F457" s="1" t="s">
        <v>18</v>
      </c>
      <c r="G457" s="1" t="n">
        <v>22727</v>
      </c>
      <c r="H457" s="1" t="s">
        <v>13</v>
      </c>
    </row>
    <row r="458" customFormat="false" ht="15" hidden="false" customHeight="true" outlineLevel="0" collapsed="false">
      <c r="A458" s="1" t="s">
        <v>41</v>
      </c>
      <c r="B458" s="1" t="s">
        <v>66</v>
      </c>
      <c r="C458" s="1" t="s">
        <v>80</v>
      </c>
      <c r="D458" s="1" t="s">
        <v>185</v>
      </c>
      <c r="E458" s="1" t="s">
        <v>337</v>
      </c>
      <c r="F458" s="1" t="s">
        <v>12</v>
      </c>
      <c r="G458" s="1" t="n">
        <v>32700</v>
      </c>
      <c r="H458" s="1" t="s">
        <v>13</v>
      </c>
    </row>
    <row r="459" customFormat="false" ht="15" hidden="false" customHeight="true" outlineLevel="0" collapsed="false">
      <c r="A459" s="1" t="s">
        <v>41</v>
      </c>
      <c r="B459" s="1" t="s">
        <v>29</v>
      </c>
      <c r="E459" s="1" t="s">
        <v>34</v>
      </c>
      <c r="F459" s="1" t="s">
        <v>18</v>
      </c>
      <c r="G459" s="1" t="n">
        <v>53965</v>
      </c>
      <c r="H459" s="1" t="s">
        <v>13</v>
      </c>
    </row>
    <row r="460" customFormat="false" ht="15" hidden="false" customHeight="true" outlineLevel="0" collapsed="false">
      <c r="A460" s="1" t="s">
        <v>42</v>
      </c>
      <c r="B460" s="1" t="s">
        <v>66</v>
      </c>
      <c r="C460" s="1" t="s">
        <v>95</v>
      </c>
      <c r="D460" s="1" t="s">
        <v>338</v>
      </c>
      <c r="E460" s="1" t="s">
        <v>302</v>
      </c>
      <c r="F460" s="1" t="s">
        <v>12</v>
      </c>
      <c r="G460" s="1" t="n">
        <v>280600</v>
      </c>
      <c r="H460" s="1" t="s">
        <v>94</v>
      </c>
    </row>
    <row r="461" customFormat="false" ht="15" hidden="false" customHeight="true" outlineLevel="0" collapsed="false">
      <c r="A461" s="1" t="s">
        <v>42</v>
      </c>
      <c r="B461" s="1" t="s">
        <v>66</v>
      </c>
      <c r="C461" s="1" t="s">
        <v>167</v>
      </c>
      <c r="D461" s="1" t="s">
        <v>339</v>
      </c>
      <c r="E461" s="1" t="s">
        <v>340</v>
      </c>
      <c r="F461" s="1" t="s">
        <v>12</v>
      </c>
      <c r="G461" s="1" t="n">
        <v>892735</v>
      </c>
      <c r="H461" s="1" t="s">
        <v>94</v>
      </c>
    </row>
    <row r="462" customFormat="false" ht="15" hidden="false" customHeight="true" outlineLevel="0" collapsed="false">
      <c r="A462" s="1" t="s">
        <v>42</v>
      </c>
      <c r="B462" s="1" t="s">
        <v>66</v>
      </c>
      <c r="C462" s="1" t="s">
        <v>67</v>
      </c>
      <c r="D462" s="1" t="s">
        <v>341</v>
      </c>
      <c r="E462" s="1" t="s">
        <v>244</v>
      </c>
      <c r="F462" s="1" t="s">
        <v>12</v>
      </c>
      <c r="G462" s="1" t="n">
        <v>149000</v>
      </c>
      <c r="H462" s="1" t="s">
        <v>94</v>
      </c>
    </row>
    <row r="463" customFormat="false" ht="15" hidden="false" customHeight="true" outlineLevel="0" collapsed="false">
      <c r="A463" s="1" t="s">
        <v>42</v>
      </c>
      <c r="B463" s="1" t="s">
        <v>66</v>
      </c>
      <c r="C463" s="1" t="s">
        <v>95</v>
      </c>
      <c r="D463" s="1" t="s">
        <v>342</v>
      </c>
      <c r="E463" s="1" t="s">
        <v>302</v>
      </c>
      <c r="F463" s="1" t="s">
        <v>12</v>
      </c>
      <c r="G463" s="1" t="n">
        <v>252000</v>
      </c>
      <c r="H463" s="1" t="s">
        <v>94</v>
      </c>
    </row>
    <row r="464" customFormat="false" ht="15" hidden="false" customHeight="true" outlineLevel="0" collapsed="false">
      <c r="A464" s="1" t="s">
        <v>42</v>
      </c>
      <c r="B464" s="1" t="s">
        <v>66</v>
      </c>
      <c r="C464" s="1" t="s">
        <v>67</v>
      </c>
      <c r="D464" s="1" t="s">
        <v>343</v>
      </c>
      <c r="E464" s="1" t="s">
        <v>244</v>
      </c>
      <c r="F464" s="1" t="s">
        <v>12</v>
      </c>
      <c r="G464" s="1" t="n">
        <v>198000</v>
      </c>
      <c r="H464" s="1" t="s">
        <v>94</v>
      </c>
    </row>
    <row r="465" customFormat="false" ht="15" hidden="false" customHeight="true" outlineLevel="0" collapsed="false">
      <c r="A465" s="1" t="s">
        <v>42</v>
      </c>
      <c r="B465" s="1" t="s">
        <v>66</v>
      </c>
      <c r="C465" s="1" t="s">
        <v>80</v>
      </c>
      <c r="D465" s="1" t="s">
        <v>168</v>
      </c>
      <c r="E465" s="1" t="s">
        <v>344</v>
      </c>
      <c r="F465" s="1" t="s">
        <v>12</v>
      </c>
      <c r="G465" s="1" t="n">
        <v>20000</v>
      </c>
      <c r="H465" s="1" t="s">
        <v>94</v>
      </c>
    </row>
    <row r="466" customFormat="false" ht="15" hidden="false" customHeight="true" outlineLevel="0" collapsed="false">
      <c r="A466" s="1" t="s">
        <v>42</v>
      </c>
      <c r="B466" s="1" t="s">
        <v>66</v>
      </c>
      <c r="C466" s="1" t="s">
        <v>70</v>
      </c>
      <c r="D466" s="1" t="s">
        <v>345</v>
      </c>
      <c r="E466" s="1" t="s">
        <v>346</v>
      </c>
      <c r="F466" s="1" t="s">
        <v>12</v>
      </c>
      <c r="G466" s="1" t="n">
        <v>65000</v>
      </c>
      <c r="H466" s="1" t="s">
        <v>94</v>
      </c>
    </row>
    <row r="467" customFormat="false" ht="15" hidden="false" customHeight="true" outlineLevel="0" collapsed="false">
      <c r="A467" s="1" t="s">
        <v>42</v>
      </c>
      <c r="B467" s="1" t="s">
        <v>66</v>
      </c>
      <c r="C467" s="1" t="s">
        <v>95</v>
      </c>
      <c r="D467" s="1" t="s">
        <v>345</v>
      </c>
      <c r="E467" s="1" t="s">
        <v>347</v>
      </c>
      <c r="F467" s="1" t="s">
        <v>12</v>
      </c>
      <c r="G467" s="1" t="n">
        <v>267128</v>
      </c>
      <c r="H467" s="1" t="s">
        <v>94</v>
      </c>
    </row>
    <row r="468" customFormat="false" ht="15" hidden="false" customHeight="true" outlineLevel="0" collapsed="false">
      <c r="A468" s="1" t="s">
        <v>42</v>
      </c>
      <c r="B468" s="1" t="s">
        <v>66</v>
      </c>
      <c r="C468" s="1" t="s">
        <v>70</v>
      </c>
      <c r="D468" s="1" t="s">
        <v>163</v>
      </c>
      <c r="E468" s="1" t="s">
        <v>348</v>
      </c>
      <c r="F468" s="1" t="s">
        <v>12</v>
      </c>
      <c r="G468" s="1" t="n">
        <v>30000</v>
      </c>
      <c r="H468" s="1" t="s">
        <v>94</v>
      </c>
    </row>
    <row r="469" customFormat="false" ht="15" hidden="false" customHeight="true" outlineLevel="0" collapsed="false">
      <c r="A469" s="1" t="s">
        <v>42</v>
      </c>
      <c r="B469" s="1" t="s">
        <v>10</v>
      </c>
      <c r="E469" s="1" t="s">
        <v>249</v>
      </c>
      <c r="F469" s="1" t="s">
        <v>18</v>
      </c>
      <c r="G469" s="1" t="n">
        <v>22727</v>
      </c>
      <c r="H469" s="1" t="s">
        <v>94</v>
      </c>
    </row>
    <row r="470" customFormat="false" ht="15" hidden="false" customHeight="true" outlineLevel="0" collapsed="false">
      <c r="A470" s="1" t="s">
        <v>42</v>
      </c>
      <c r="B470" s="1" t="s">
        <v>27</v>
      </c>
      <c r="E470" s="1" t="s">
        <v>248</v>
      </c>
      <c r="F470" s="1" t="s">
        <v>12</v>
      </c>
      <c r="G470" s="1" t="n">
        <v>4338</v>
      </c>
      <c r="H470" s="1" t="s">
        <v>94</v>
      </c>
    </row>
    <row r="471" customFormat="false" ht="15" hidden="false" customHeight="true" outlineLevel="0" collapsed="false">
      <c r="A471" s="1" t="s">
        <v>42</v>
      </c>
      <c r="B471" s="1" t="s">
        <v>66</v>
      </c>
      <c r="C471" s="1" t="s">
        <v>83</v>
      </c>
      <c r="D471" s="1" t="s">
        <v>349</v>
      </c>
      <c r="E471" s="1" t="s">
        <v>350</v>
      </c>
      <c r="F471" s="1" t="s">
        <v>12</v>
      </c>
      <c r="G471" s="1" t="n">
        <v>15165</v>
      </c>
      <c r="H471" s="1" t="s">
        <v>94</v>
      </c>
    </row>
    <row r="472" customFormat="false" ht="15" hidden="false" customHeight="true" outlineLevel="0" collapsed="false">
      <c r="A472" s="1" t="s">
        <v>42</v>
      </c>
      <c r="B472" s="1" t="s">
        <v>66</v>
      </c>
      <c r="C472" s="1" t="s">
        <v>80</v>
      </c>
      <c r="D472" s="1" t="s">
        <v>349</v>
      </c>
      <c r="E472" s="1" t="s">
        <v>351</v>
      </c>
      <c r="F472" s="1" t="s">
        <v>12</v>
      </c>
      <c r="G472" s="1" t="n">
        <v>513392</v>
      </c>
      <c r="H472" s="1" t="s">
        <v>94</v>
      </c>
    </row>
    <row r="473" customFormat="false" ht="15" hidden="false" customHeight="true" outlineLevel="0" collapsed="false">
      <c r="A473" s="1" t="s">
        <v>42</v>
      </c>
      <c r="B473" s="1" t="s">
        <v>66</v>
      </c>
      <c r="C473" s="1" t="s">
        <v>95</v>
      </c>
      <c r="D473" s="1" t="s">
        <v>349</v>
      </c>
      <c r="E473" s="1" t="s">
        <v>302</v>
      </c>
      <c r="F473" s="1" t="s">
        <v>12</v>
      </c>
      <c r="G473" s="1" t="n">
        <v>320000</v>
      </c>
      <c r="H473" s="1" t="s">
        <v>94</v>
      </c>
    </row>
    <row r="474" customFormat="false" ht="15" hidden="false" customHeight="true" outlineLevel="0" collapsed="false">
      <c r="A474" s="1" t="s">
        <v>32</v>
      </c>
      <c r="B474" s="1" t="s">
        <v>66</v>
      </c>
      <c r="C474" s="1" t="s">
        <v>67</v>
      </c>
      <c r="D474" s="1" t="s">
        <v>352</v>
      </c>
      <c r="E474" s="1" t="s">
        <v>244</v>
      </c>
      <c r="F474" s="1" t="s">
        <v>12</v>
      </c>
      <c r="G474" s="1" t="n">
        <v>201000</v>
      </c>
      <c r="H474" s="1" t="s">
        <v>94</v>
      </c>
    </row>
    <row r="475" customFormat="false" ht="15" hidden="false" customHeight="true" outlineLevel="0" collapsed="false">
      <c r="A475" s="1" t="s">
        <v>32</v>
      </c>
      <c r="B475" s="1" t="s">
        <v>66</v>
      </c>
      <c r="C475" s="1" t="s">
        <v>67</v>
      </c>
      <c r="D475" s="1" t="s">
        <v>159</v>
      </c>
      <c r="E475" s="1" t="s">
        <v>244</v>
      </c>
      <c r="F475" s="1" t="s">
        <v>12</v>
      </c>
      <c r="G475" s="1" t="n">
        <v>253000</v>
      </c>
      <c r="H475" s="1" t="s">
        <v>94</v>
      </c>
    </row>
    <row r="476" customFormat="false" ht="15" hidden="false" customHeight="true" outlineLevel="0" collapsed="false">
      <c r="A476" s="1" t="s">
        <v>32</v>
      </c>
      <c r="B476" s="1" t="s">
        <v>66</v>
      </c>
      <c r="C476" s="1" t="s">
        <v>67</v>
      </c>
      <c r="D476" s="1" t="s">
        <v>353</v>
      </c>
      <c r="E476" s="1" t="s">
        <v>244</v>
      </c>
      <c r="F476" s="1" t="s">
        <v>12</v>
      </c>
      <c r="G476" s="1" t="n">
        <v>198000</v>
      </c>
      <c r="H476" s="1" t="s">
        <v>94</v>
      </c>
    </row>
    <row r="477" customFormat="false" ht="15" hidden="false" customHeight="true" outlineLevel="0" collapsed="false">
      <c r="A477" s="1" t="s">
        <v>32</v>
      </c>
      <c r="B477" s="1" t="s">
        <v>66</v>
      </c>
      <c r="C477" s="1" t="s">
        <v>67</v>
      </c>
      <c r="D477" s="1" t="s">
        <v>354</v>
      </c>
      <c r="E477" s="1" t="s">
        <v>244</v>
      </c>
      <c r="F477" s="1" t="s">
        <v>12</v>
      </c>
      <c r="G477" s="1" t="n">
        <v>351000</v>
      </c>
      <c r="H477" s="1" t="s">
        <v>94</v>
      </c>
    </row>
    <row r="478" customFormat="false" ht="15" hidden="false" customHeight="true" outlineLevel="0" collapsed="false">
      <c r="A478" s="1" t="s">
        <v>32</v>
      </c>
      <c r="B478" s="1" t="s">
        <v>66</v>
      </c>
      <c r="C478" s="1" t="s">
        <v>95</v>
      </c>
      <c r="D478" s="1" t="s">
        <v>355</v>
      </c>
      <c r="E478" s="1" t="s">
        <v>356</v>
      </c>
      <c r="F478" s="1" t="s">
        <v>12</v>
      </c>
      <c r="G478" s="1" t="n">
        <v>328834</v>
      </c>
      <c r="H478" s="1" t="s">
        <v>94</v>
      </c>
    </row>
    <row r="479" customFormat="false" ht="15" hidden="false" customHeight="true" outlineLevel="0" collapsed="false">
      <c r="A479" s="1" t="s">
        <v>32</v>
      </c>
      <c r="B479" s="1" t="s">
        <v>10</v>
      </c>
      <c r="E479" s="1" t="s">
        <v>249</v>
      </c>
      <c r="F479" s="1" t="s">
        <v>18</v>
      </c>
      <c r="G479" s="1" t="n">
        <v>22727</v>
      </c>
      <c r="H479" s="1" t="s">
        <v>94</v>
      </c>
    </row>
    <row r="480" customFormat="false" ht="15" hidden="false" customHeight="true" outlineLevel="0" collapsed="false">
      <c r="A480" s="1" t="s">
        <v>32</v>
      </c>
      <c r="B480" s="1" t="s">
        <v>27</v>
      </c>
      <c r="E480" s="1" t="s">
        <v>248</v>
      </c>
      <c r="F480" s="1" t="s">
        <v>12</v>
      </c>
      <c r="G480" s="1" t="n">
        <v>4238</v>
      </c>
      <c r="H480" s="1" t="s">
        <v>94</v>
      </c>
    </row>
    <row r="481" customFormat="false" ht="15" hidden="false" customHeight="true" outlineLevel="0" collapsed="false">
      <c r="A481" s="1" t="s">
        <v>9</v>
      </c>
      <c r="B481" s="1" t="s">
        <v>66</v>
      </c>
      <c r="C481" s="1" t="s">
        <v>70</v>
      </c>
      <c r="D481" s="1" t="s">
        <v>134</v>
      </c>
      <c r="E481" s="1" t="s">
        <v>357</v>
      </c>
      <c r="F481" s="1" t="s">
        <v>12</v>
      </c>
      <c r="G481" s="1" t="n">
        <v>385000</v>
      </c>
      <c r="H481" s="1" t="s">
        <v>13</v>
      </c>
    </row>
    <row r="482" customFormat="false" ht="15" hidden="false" customHeight="true" outlineLevel="0" collapsed="false">
      <c r="A482" s="1" t="s">
        <v>9</v>
      </c>
      <c r="B482" s="1" t="s">
        <v>66</v>
      </c>
      <c r="C482" s="1" t="s">
        <v>80</v>
      </c>
      <c r="D482" s="1" t="s">
        <v>134</v>
      </c>
      <c r="E482" s="1" t="s">
        <v>80</v>
      </c>
      <c r="F482" s="1" t="s">
        <v>12</v>
      </c>
      <c r="G482" s="1" t="n">
        <v>67000</v>
      </c>
      <c r="H482" s="1" t="s">
        <v>13</v>
      </c>
    </row>
    <row r="483" customFormat="false" ht="15" hidden="false" customHeight="true" outlineLevel="0" collapsed="false">
      <c r="A483" s="1" t="s">
        <v>9</v>
      </c>
      <c r="B483" s="1" t="s">
        <v>66</v>
      </c>
      <c r="C483" s="1" t="s">
        <v>80</v>
      </c>
      <c r="D483" s="1" t="s">
        <v>134</v>
      </c>
      <c r="E483" s="1" t="s">
        <v>80</v>
      </c>
      <c r="F483" s="1" t="s">
        <v>12</v>
      </c>
      <c r="G483" s="1" t="n">
        <v>830000</v>
      </c>
      <c r="H483" s="1" t="s">
        <v>13</v>
      </c>
    </row>
    <row r="484" customFormat="false" ht="15" hidden="false" customHeight="true" outlineLevel="0" collapsed="false">
      <c r="A484" s="1" t="s">
        <v>9</v>
      </c>
      <c r="B484" s="1" t="s">
        <v>66</v>
      </c>
      <c r="C484" s="1" t="s">
        <v>80</v>
      </c>
      <c r="D484" s="1" t="s">
        <v>134</v>
      </c>
      <c r="E484" s="1" t="s">
        <v>358</v>
      </c>
      <c r="F484" s="1" t="s">
        <v>12</v>
      </c>
      <c r="G484" s="1" t="n">
        <v>-166000</v>
      </c>
      <c r="H484" s="1" t="s">
        <v>13</v>
      </c>
    </row>
    <row r="485" customFormat="false" ht="15" hidden="false" customHeight="true" outlineLevel="0" collapsed="false">
      <c r="A485" s="1" t="s">
        <v>9</v>
      </c>
      <c r="B485" s="1" t="s">
        <v>66</v>
      </c>
      <c r="C485" s="1" t="s">
        <v>167</v>
      </c>
      <c r="D485" s="1" t="s">
        <v>134</v>
      </c>
      <c r="E485" s="1" t="s">
        <v>359</v>
      </c>
      <c r="F485" s="1" t="s">
        <v>12</v>
      </c>
      <c r="G485" s="1" t="n">
        <v>210000</v>
      </c>
      <c r="H485" s="1" t="s">
        <v>13</v>
      </c>
    </row>
    <row r="486" customFormat="false" ht="15" hidden="false" customHeight="true" outlineLevel="0" collapsed="false">
      <c r="A486" s="1" t="s">
        <v>9</v>
      </c>
      <c r="B486" s="1" t="s">
        <v>66</v>
      </c>
      <c r="C486" s="1" t="s">
        <v>70</v>
      </c>
      <c r="D486" s="1" t="s">
        <v>360</v>
      </c>
      <c r="E486" s="1" t="s">
        <v>70</v>
      </c>
      <c r="F486" s="1" t="s">
        <v>12</v>
      </c>
      <c r="G486" s="1" t="n">
        <v>308000</v>
      </c>
      <c r="H486" s="1" t="s">
        <v>13</v>
      </c>
    </row>
    <row r="487" customFormat="false" ht="15" hidden="false" customHeight="true" outlineLevel="0" collapsed="false">
      <c r="A487" s="1" t="s">
        <v>9</v>
      </c>
      <c r="B487" s="1" t="s">
        <v>66</v>
      </c>
      <c r="C487" s="1" t="s">
        <v>83</v>
      </c>
      <c r="D487" s="1" t="s">
        <v>360</v>
      </c>
      <c r="E487" s="1" t="s">
        <v>84</v>
      </c>
      <c r="F487" s="1" t="s">
        <v>12</v>
      </c>
      <c r="G487" s="1" t="n">
        <v>20000</v>
      </c>
      <c r="H487" s="1" t="s">
        <v>132</v>
      </c>
    </row>
    <row r="488" customFormat="false" ht="15" hidden="false" customHeight="true" outlineLevel="0" collapsed="false">
      <c r="A488" s="1" t="s">
        <v>9</v>
      </c>
      <c r="B488" s="1" t="s">
        <v>66</v>
      </c>
      <c r="C488" s="1" t="s">
        <v>70</v>
      </c>
      <c r="D488" s="1" t="s">
        <v>360</v>
      </c>
      <c r="E488" s="1" t="s">
        <v>361</v>
      </c>
      <c r="F488" s="1" t="s">
        <v>12</v>
      </c>
      <c r="G488" s="1" t="n">
        <v>35000</v>
      </c>
      <c r="H488" s="1" t="s">
        <v>132</v>
      </c>
    </row>
    <row r="489" customFormat="false" ht="15" hidden="false" customHeight="true" outlineLevel="0" collapsed="false">
      <c r="A489" s="1" t="s">
        <v>9</v>
      </c>
      <c r="B489" s="1" t="s">
        <v>66</v>
      </c>
      <c r="C489" s="1" t="s">
        <v>78</v>
      </c>
      <c r="D489" s="1" t="s">
        <v>360</v>
      </c>
      <c r="E489" s="1" t="s">
        <v>78</v>
      </c>
      <c r="F489" s="1" t="s">
        <v>12</v>
      </c>
      <c r="G489" s="1" t="n">
        <v>120000</v>
      </c>
      <c r="H489" s="1" t="s">
        <v>25</v>
      </c>
    </row>
    <row r="490" customFormat="false" ht="15" hidden="false" customHeight="true" outlineLevel="0" collapsed="false">
      <c r="A490" s="1" t="s">
        <v>9</v>
      </c>
      <c r="B490" s="1" t="s">
        <v>66</v>
      </c>
      <c r="C490" s="1" t="s">
        <v>75</v>
      </c>
      <c r="D490" s="1" t="s">
        <v>360</v>
      </c>
      <c r="E490" s="1" t="s">
        <v>77</v>
      </c>
      <c r="F490" s="1" t="s">
        <v>12</v>
      </c>
      <c r="G490" s="1" t="n">
        <v>45000</v>
      </c>
      <c r="H490" s="1" t="s">
        <v>25</v>
      </c>
    </row>
    <row r="491" customFormat="false" ht="15" hidden="false" customHeight="true" outlineLevel="0" collapsed="false">
      <c r="A491" s="1" t="s">
        <v>9</v>
      </c>
      <c r="B491" s="1" t="s">
        <v>66</v>
      </c>
      <c r="C491" s="1" t="s">
        <v>75</v>
      </c>
      <c r="D491" s="1" t="s">
        <v>362</v>
      </c>
      <c r="E491" s="1" t="s">
        <v>363</v>
      </c>
      <c r="F491" s="1" t="s">
        <v>12</v>
      </c>
      <c r="G491" s="1" t="n">
        <v>22000</v>
      </c>
      <c r="H491" s="1" t="s">
        <v>13</v>
      </c>
    </row>
    <row r="492" customFormat="false" ht="15" hidden="false" customHeight="true" outlineLevel="0" collapsed="false">
      <c r="A492" s="1" t="s">
        <v>9</v>
      </c>
      <c r="B492" s="1" t="s">
        <v>66</v>
      </c>
      <c r="C492" s="1" t="s">
        <v>67</v>
      </c>
      <c r="D492" s="1" t="s">
        <v>362</v>
      </c>
      <c r="E492" s="1" t="s">
        <v>67</v>
      </c>
      <c r="F492" s="1" t="s">
        <v>12</v>
      </c>
      <c r="G492" s="1" t="n">
        <v>197000</v>
      </c>
      <c r="H492" s="1" t="s">
        <v>13</v>
      </c>
    </row>
    <row r="493" customFormat="false" ht="15" hidden="false" customHeight="true" outlineLevel="0" collapsed="false">
      <c r="A493" s="1" t="s">
        <v>9</v>
      </c>
      <c r="B493" s="1" t="s">
        <v>21</v>
      </c>
      <c r="D493" s="1" t="s">
        <v>362</v>
      </c>
      <c r="E493" s="1" t="s">
        <v>174</v>
      </c>
      <c r="F493" s="1" t="s">
        <v>12</v>
      </c>
      <c r="G493" s="1" t="n">
        <v>248714</v>
      </c>
      <c r="H493" s="1" t="s">
        <v>13</v>
      </c>
    </row>
    <row r="494" customFormat="false" ht="15" hidden="false" customHeight="true" outlineLevel="0" collapsed="false">
      <c r="A494" s="1" t="s">
        <v>9</v>
      </c>
      <c r="B494" s="1" t="s">
        <v>21</v>
      </c>
      <c r="D494" s="1" t="s">
        <v>362</v>
      </c>
      <c r="E494" s="1" t="s">
        <v>364</v>
      </c>
      <c r="F494" s="1" t="s">
        <v>12</v>
      </c>
      <c r="G494" s="1" t="n">
        <v>330000</v>
      </c>
      <c r="H494" s="1" t="s">
        <v>25</v>
      </c>
    </row>
    <row r="495" customFormat="false" ht="15" hidden="false" customHeight="true" outlineLevel="0" collapsed="false">
      <c r="A495" s="1" t="s">
        <v>9</v>
      </c>
      <c r="B495" s="1" t="s">
        <v>66</v>
      </c>
      <c r="C495" s="1" t="s">
        <v>83</v>
      </c>
      <c r="D495" s="1" t="s">
        <v>365</v>
      </c>
      <c r="E495" s="1" t="s">
        <v>84</v>
      </c>
      <c r="F495" s="1" t="s">
        <v>12</v>
      </c>
      <c r="G495" s="1" t="n">
        <v>20000</v>
      </c>
      <c r="H495" s="1" t="s">
        <v>94</v>
      </c>
    </row>
    <row r="496" customFormat="false" ht="15" hidden="false" customHeight="true" outlineLevel="0" collapsed="false">
      <c r="A496" s="1" t="s">
        <v>9</v>
      </c>
      <c r="B496" s="1" t="s">
        <v>66</v>
      </c>
      <c r="C496" s="1" t="s">
        <v>95</v>
      </c>
      <c r="D496" s="1" t="s">
        <v>365</v>
      </c>
      <c r="E496" s="1" t="s">
        <v>95</v>
      </c>
      <c r="F496" s="1" t="s">
        <v>12</v>
      </c>
      <c r="G496" s="1" t="n">
        <v>319235</v>
      </c>
      <c r="H496" s="1" t="s">
        <v>94</v>
      </c>
    </row>
    <row r="497" customFormat="false" ht="15" hidden="false" customHeight="true" outlineLevel="0" collapsed="false">
      <c r="A497" s="1" t="s">
        <v>9</v>
      </c>
      <c r="B497" s="1" t="s">
        <v>66</v>
      </c>
      <c r="C497" s="1" t="s">
        <v>95</v>
      </c>
      <c r="D497" s="1" t="s">
        <v>365</v>
      </c>
      <c r="E497" s="1" t="s">
        <v>366</v>
      </c>
      <c r="F497" s="1" t="s">
        <v>12</v>
      </c>
      <c r="G497" s="1" t="n">
        <v>-18750</v>
      </c>
      <c r="H497" s="1" t="s">
        <v>94</v>
      </c>
    </row>
    <row r="498" customFormat="false" ht="15" hidden="false" customHeight="true" outlineLevel="0" collapsed="false">
      <c r="A498" s="1" t="s">
        <v>9</v>
      </c>
      <c r="B498" s="1" t="s">
        <v>10</v>
      </c>
      <c r="E498" s="1" t="s">
        <v>249</v>
      </c>
      <c r="F498" s="1" t="s">
        <v>18</v>
      </c>
      <c r="G498" s="1" t="n">
        <v>25000</v>
      </c>
      <c r="H498" s="1" t="s">
        <v>94</v>
      </c>
    </row>
    <row r="499" customFormat="false" ht="15" hidden="false" customHeight="true" outlineLevel="0" collapsed="false">
      <c r="A499" s="1" t="s">
        <v>9</v>
      </c>
      <c r="B499" s="1" t="s">
        <v>27</v>
      </c>
      <c r="E499" s="1" t="s">
        <v>248</v>
      </c>
      <c r="F499" s="1" t="s">
        <v>12</v>
      </c>
      <c r="G499" s="1" t="n">
        <v>4675</v>
      </c>
      <c r="H499" s="1" t="s">
        <v>94</v>
      </c>
    </row>
    <row r="500" customFormat="false" ht="15" hidden="false" customHeight="true" outlineLevel="0" collapsed="false">
      <c r="A500" s="1" t="s">
        <v>9</v>
      </c>
      <c r="B500" s="1" t="s">
        <v>66</v>
      </c>
      <c r="C500" s="1" t="s">
        <v>106</v>
      </c>
      <c r="D500" s="1" t="s">
        <v>365</v>
      </c>
      <c r="E500" s="1" t="s">
        <v>367</v>
      </c>
      <c r="F500" s="1" t="s">
        <v>12</v>
      </c>
      <c r="G500" s="1" t="n">
        <v>159000</v>
      </c>
      <c r="H500" s="1" t="s">
        <v>94</v>
      </c>
    </row>
    <row r="501" customFormat="false" ht="15" hidden="false" customHeight="true" outlineLevel="0" collapsed="false">
      <c r="A501" s="1" t="s">
        <v>9</v>
      </c>
      <c r="B501" s="1" t="s">
        <v>66</v>
      </c>
      <c r="C501" s="1" t="s">
        <v>80</v>
      </c>
      <c r="D501" s="1" t="s">
        <v>365</v>
      </c>
      <c r="E501" s="1" t="s">
        <v>80</v>
      </c>
      <c r="F501" s="1" t="s">
        <v>12</v>
      </c>
      <c r="G501" s="1" t="n">
        <v>145600</v>
      </c>
      <c r="H501" s="1" t="s">
        <v>13</v>
      </c>
    </row>
    <row r="502" customFormat="false" ht="15" hidden="false" customHeight="true" outlineLevel="0" collapsed="false">
      <c r="A502" s="1" t="s">
        <v>9</v>
      </c>
      <c r="B502" s="1" t="s">
        <v>66</v>
      </c>
      <c r="C502" s="1" t="s">
        <v>70</v>
      </c>
      <c r="D502" s="1" t="s">
        <v>365</v>
      </c>
      <c r="E502" s="1" t="s">
        <v>361</v>
      </c>
      <c r="F502" s="1" t="s">
        <v>12</v>
      </c>
      <c r="G502" s="1" t="n">
        <v>48500</v>
      </c>
      <c r="H502" s="1" t="s">
        <v>132</v>
      </c>
    </row>
    <row r="503" customFormat="false" ht="15" hidden="false" customHeight="true" outlineLevel="0" collapsed="false">
      <c r="A503" s="1" t="s">
        <v>9</v>
      </c>
      <c r="B503" s="1" t="s">
        <v>66</v>
      </c>
      <c r="C503" s="1" t="s">
        <v>70</v>
      </c>
      <c r="D503" s="1" t="s">
        <v>365</v>
      </c>
      <c r="E503" s="1" t="s">
        <v>70</v>
      </c>
      <c r="F503" s="1" t="s">
        <v>12</v>
      </c>
      <c r="G503" s="1" t="n">
        <v>66000</v>
      </c>
      <c r="H503" s="1" t="s">
        <v>13</v>
      </c>
    </row>
    <row r="504" customFormat="false" ht="15" hidden="false" customHeight="true" outlineLevel="0" collapsed="false">
      <c r="A504" s="1" t="s">
        <v>43</v>
      </c>
      <c r="B504" s="1" t="s">
        <v>29</v>
      </c>
      <c r="D504" s="1" t="s">
        <v>362</v>
      </c>
      <c r="E504" s="1" t="s">
        <v>35</v>
      </c>
      <c r="F504" s="1" t="s">
        <v>18</v>
      </c>
      <c r="G504" s="1" t="n">
        <v>0</v>
      </c>
      <c r="H504" s="1" t="s">
        <v>13</v>
      </c>
    </row>
    <row r="505" customFormat="false" ht="15" hidden="false" customHeight="true" outlineLevel="0" collapsed="false">
      <c r="A505" s="1" t="s">
        <v>9</v>
      </c>
      <c r="B505" s="1" t="s">
        <v>66</v>
      </c>
      <c r="C505" s="1" t="s">
        <v>96</v>
      </c>
      <c r="D505" s="1" t="s">
        <v>365</v>
      </c>
      <c r="E505" s="1" t="s">
        <v>368</v>
      </c>
      <c r="F505" s="1" t="s">
        <v>12</v>
      </c>
      <c r="G505" s="1" t="n">
        <v>59294</v>
      </c>
      <c r="H505" s="1" t="s">
        <v>94</v>
      </c>
    </row>
    <row r="506" customFormat="false" ht="15" hidden="false" customHeight="true" outlineLevel="0" collapsed="false">
      <c r="A506" s="1" t="s">
        <v>9</v>
      </c>
      <c r="B506" s="1" t="s">
        <v>16</v>
      </c>
      <c r="E506" s="1" t="s">
        <v>33</v>
      </c>
      <c r="F506" s="1" t="s">
        <v>18</v>
      </c>
      <c r="G506" s="1" t="n">
        <v>130000</v>
      </c>
      <c r="H506" s="1" t="s">
        <v>13</v>
      </c>
    </row>
    <row r="507" customFormat="false" ht="15" hidden="false" customHeight="true" outlineLevel="0" collapsed="false">
      <c r="A507" s="1" t="s">
        <v>9</v>
      </c>
      <c r="B507" s="1" t="s">
        <v>66</v>
      </c>
      <c r="C507" s="1" t="s">
        <v>80</v>
      </c>
      <c r="D507" s="1" t="s">
        <v>369</v>
      </c>
      <c r="E507" s="1" t="s">
        <v>80</v>
      </c>
      <c r="F507" s="1" t="s">
        <v>12</v>
      </c>
      <c r="G507" s="1" t="n">
        <v>114000</v>
      </c>
      <c r="H507" s="1" t="s">
        <v>13</v>
      </c>
    </row>
    <row r="508" customFormat="false" ht="15" hidden="false" customHeight="true" outlineLevel="0" collapsed="false">
      <c r="A508" s="1" t="s">
        <v>9</v>
      </c>
      <c r="B508" s="1" t="s">
        <v>29</v>
      </c>
      <c r="D508" s="1" t="s">
        <v>369</v>
      </c>
      <c r="E508" s="1" t="s">
        <v>370</v>
      </c>
      <c r="F508" s="1" t="s">
        <v>12</v>
      </c>
      <c r="G508" s="1" t="n">
        <v>374200</v>
      </c>
      <c r="H508" s="1" t="s">
        <v>132</v>
      </c>
    </row>
    <row r="509" customFormat="false" ht="15" hidden="false" customHeight="true" outlineLevel="0" collapsed="false">
      <c r="A509" s="1" t="s">
        <v>9</v>
      </c>
      <c r="B509" s="1" t="s">
        <v>66</v>
      </c>
      <c r="C509" s="1" t="s">
        <v>70</v>
      </c>
      <c r="D509" s="1" t="s">
        <v>369</v>
      </c>
      <c r="E509" s="1" t="s">
        <v>70</v>
      </c>
      <c r="F509" s="1" t="s">
        <v>12</v>
      </c>
      <c r="G509" s="1" t="n">
        <v>150000</v>
      </c>
      <c r="H509" s="1" t="s">
        <v>25</v>
      </c>
    </row>
    <row r="510" customFormat="false" ht="15" hidden="false" customHeight="true" outlineLevel="0" collapsed="false">
      <c r="A510" s="1" t="s">
        <v>9</v>
      </c>
      <c r="B510" s="1" t="s">
        <v>66</v>
      </c>
      <c r="C510" s="1" t="s">
        <v>73</v>
      </c>
      <c r="D510" s="1" t="s">
        <v>371</v>
      </c>
      <c r="E510" s="1" t="s">
        <v>372</v>
      </c>
      <c r="F510" s="1" t="s">
        <v>12</v>
      </c>
      <c r="G510" s="1" t="n">
        <v>25000</v>
      </c>
      <c r="H510" s="1" t="s">
        <v>25</v>
      </c>
    </row>
    <row r="511" customFormat="false" ht="15" hidden="false" customHeight="true" outlineLevel="0" collapsed="false">
      <c r="A511" s="1" t="s">
        <v>9</v>
      </c>
      <c r="B511" s="1" t="s">
        <v>66</v>
      </c>
      <c r="C511" s="1" t="s">
        <v>75</v>
      </c>
      <c r="D511" s="1" t="s">
        <v>371</v>
      </c>
      <c r="E511" s="1" t="s">
        <v>373</v>
      </c>
      <c r="F511" s="1" t="s">
        <v>12</v>
      </c>
      <c r="G511" s="1" t="n">
        <v>10000</v>
      </c>
      <c r="H511" s="1" t="s">
        <v>25</v>
      </c>
    </row>
    <row r="512" customFormat="false" ht="15" hidden="false" customHeight="true" outlineLevel="0" collapsed="false">
      <c r="A512" s="1" t="s">
        <v>9</v>
      </c>
      <c r="B512" s="1" t="s">
        <v>66</v>
      </c>
      <c r="C512" s="1" t="s">
        <v>70</v>
      </c>
      <c r="D512" s="1" t="s">
        <v>371</v>
      </c>
      <c r="E512" s="1" t="s">
        <v>70</v>
      </c>
      <c r="F512" s="1" t="s">
        <v>12</v>
      </c>
      <c r="G512" s="1" t="n">
        <v>236000</v>
      </c>
      <c r="H512" s="1" t="s">
        <v>13</v>
      </c>
    </row>
    <row r="513" customFormat="false" ht="15" hidden="false" customHeight="true" outlineLevel="0" collapsed="false">
      <c r="A513" s="1" t="s">
        <v>9</v>
      </c>
      <c r="B513" s="1" t="s">
        <v>66</v>
      </c>
      <c r="C513" s="1" t="s">
        <v>75</v>
      </c>
      <c r="D513" s="1" t="s">
        <v>371</v>
      </c>
      <c r="E513" s="1" t="s">
        <v>77</v>
      </c>
      <c r="F513" s="1" t="s">
        <v>12</v>
      </c>
      <c r="G513" s="1" t="n">
        <v>45000</v>
      </c>
      <c r="H513" s="1" t="s">
        <v>132</v>
      </c>
    </row>
    <row r="514" customFormat="false" ht="15" hidden="false" customHeight="true" outlineLevel="0" collapsed="false">
      <c r="A514" s="1" t="s">
        <v>9</v>
      </c>
      <c r="B514" s="1" t="s">
        <v>66</v>
      </c>
      <c r="C514" s="1" t="s">
        <v>70</v>
      </c>
      <c r="D514" s="1" t="s">
        <v>371</v>
      </c>
      <c r="E514" s="1" t="s">
        <v>374</v>
      </c>
      <c r="F514" s="1" t="s">
        <v>12</v>
      </c>
      <c r="G514" s="1" t="n">
        <v>75000</v>
      </c>
      <c r="H514" s="1" t="s">
        <v>25</v>
      </c>
    </row>
    <row r="515" customFormat="false" ht="15" hidden="false" customHeight="true" outlineLevel="0" collapsed="false">
      <c r="A515" s="1" t="s">
        <v>9</v>
      </c>
      <c r="B515" s="1" t="s">
        <v>66</v>
      </c>
      <c r="C515" s="1" t="s">
        <v>78</v>
      </c>
      <c r="D515" s="1" t="s">
        <v>371</v>
      </c>
      <c r="E515" s="1" t="s">
        <v>78</v>
      </c>
      <c r="F515" s="1" t="s">
        <v>12</v>
      </c>
      <c r="G515" s="1" t="n">
        <v>120000</v>
      </c>
      <c r="H515" s="1" t="s">
        <v>25</v>
      </c>
    </row>
    <row r="516" customFormat="false" ht="15" hidden="false" customHeight="true" outlineLevel="0" collapsed="false">
      <c r="A516" s="1" t="s">
        <v>9</v>
      </c>
      <c r="B516" s="1" t="s">
        <v>66</v>
      </c>
      <c r="C516" s="1" t="s">
        <v>70</v>
      </c>
      <c r="D516" s="1" t="s">
        <v>371</v>
      </c>
      <c r="E516" s="1" t="s">
        <v>70</v>
      </c>
      <c r="F516" s="1" t="s">
        <v>12</v>
      </c>
      <c r="G516" s="1" t="n">
        <v>25000</v>
      </c>
      <c r="H516" s="1" t="s">
        <v>132</v>
      </c>
    </row>
    <row r="517" customFormat="false" ht="15" hidden="false" customHeight="true" outlineLevel="0" collapsed="false">
      <c r="A517" s="1" t="s">
        <v>43</v>
      </c>
      <c r="B517" s="1" t="s">
        <v>10</v>
      </c>
      <c r="E517" s="1" t="s">
        <v>11</v>
      </c>
      <c r="F517" s="1" t="s">
        <v>12</v>
      </c>
      <c r="G517" s="1" t="n">
        <v>262140</v>
      </c>
      <c r="H517" s="1" t="s">
        <v>13</v>
      </c>
    </row>
    <row r="518" customFormat="false" ht="15" hidden="false" customHeight="true" outlineLevel="0" collapsed="false">
      <c r="A518" s="1" t="s">
        <v>43</v>
      </c>
      <c r="B518" s="1" t="s">
        <v>29</v>
      </c>
      <c r="E518" s="1" t="s">
        <v>131</v>
      </c>
      <c r="F518" s="1" t="s">
        <v>18</v>
      </c>
      <c r="G518" s="1" t="n">
        <v>0</v>
      </c>
      <c r="H518" s="1" t="s">
        <v>132</v>
      </c>
    </row>
    <row r="519" customFormat="false" ht="15" hidden="false" customHeight="true" outlineLevel="0" collapsed="false">
      <c r="A519" s="1" t="s">
        <v>43</v>
      </c>
      <c r="B519" s="1" t="s">
        <v>66</v>
      </c>
      <c r="C519" s="1" t="s">
        <v>78</v>
      </c>
      <c r="D519" s="1" t="s">
        <v>375</v>
      </c>
      <c r="E519" s="1" t="s">
        <v>78</v>
      </c>
      <c r="F519" s="1" t="s">
        <v>12</v>
      </c>
      <c r="G519" s="1" t="n">
        <v>120000</v>
      </c>
      <c r="H519" s="1" t="s">
        <v>25</v>
      </c>
    </row>
    <row r="520" customFormat="false" ht="15" hidden="false" customHeight="true" outlineLevel="0" collapsed="false">
      <c r="A520" s="1" t="s">
        <v>43</v>
      </c>
      <c r="B520" s="1" t="s">
        <v>66</v>
      </c>
      <c r="C520" s="1" t="s">
        <v>376</v>
      </c>
      <c r="D520" s="1" t="s">
        <v>375</v>
      </c>
      <c r="E520" s="1" t="s">
        <v>84</v>
      </c>
      <c r="F520" s="1" t="s">
        <v>12</v>
      </c>
      <c r="G520" s="1" t="n">
        <v>10000</v>
      </c>
      <c r="H520" s="1" t="s">
        <v>132</v>
      </c>
    </row>
    <row r="521" customFormat="false" ht="15" hidden="false" customHeight="true" outlineLevel="0" collapsed="false">
      <c r="A521" s="1" t="s">
        <v>43</v>
      </c>
      <c r="B521" s="1" t="s">
        <v>66</v>
      </c>
      <c r="C521" s="1" t="s">
        <v>376</v>
      </c>
      <c r="D521" s="1" t="s">
        <v>375</v>
      </c>
      <c r="E521" s="1" t="s">
        <v>118</v>
      </c>
      <c r="F521" s="1" t="s">
        <v>12</v>
      </c>
      <c r="G521" s="1" t="n">
        <v>32400</v>
      </c>
      <c r="H521" s="1" t="s">
        <v>132</v>
      </c>
    </row>
    <row r="522" customFormat="false" ht="15" hidden="false" customHeight="false" outlineLevel="0" collapsed="false">
      <c r="E522" s="1" t="s">
        <v>377</v>
      </c>
      <c r="G522" s="1" t="n">
        <f aca="false">SUM(G2:G521)</f>
        <v>175604858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3" t="s">
        <v>378</v>
      </c>
    </row>
    <row r="2" customFormat="false" ht="15" hidden="false" customHeight="true" outlineLevel="0" collapsed="false">
      <c r="A2" s="4"/>
    </row>
    <row r="3" customFormat="false" ht="15" hidden="false" customHeight="true" outlineLevel="0" collapsed="false">
      <c r="A3" s="4" t="s">
        <v>379</v>
      </c>
    </row>
    <row r="4" customFormat="false" ht="15" hidden="false" customHeight="true" outlineLevel="0" collapsed="false">
      <c r="A4" s="4" t="s">
        <v>380</v>
      </c>
    </row>
    <row r="5" customFormat="false" ht="15" hidden="false" customHeight="true" outlineLevel="0" collapsed="false">
      <c r="A5" s="4" t="s">
        <v>381</v>
      </c>
    </row>
    <row r="6" customFormat="false" ht="15" hidden="false" customHeight="true" outlineLevel="0" collapsed="false">
      <c r="A6" s="4" t="s">
        <v>382</v>
      </c>
    </row>
    <row r="7" customFormat="false" ht="15" hidden="false" customHeight="true" outlineLevel="0" collapsed="false">
      <c r="A7" s="4" t="s">
        <v>383</v>
      </c>
    </row>
    <row r="8" customFormat="false" ht="15" hidden="false" customHeight="true" outlineLevel="0" collapsed="false">
      <c r="A8" s="4" t="s">
        <v>384</v>
      </c>
    </row>
    <row r="9" customFormat="false" ht="15" hidden="false" customHeight="true" outlineLevel="0" collapsed="false">
      <c r="A9" s="4"/>
    </row>
    <row r="10" customFormat="false" ht="15" hidden="false" customHeight="true" outlineLevel="0" collapsed="false">
      <c r="A10" s="4" t="s">
        <v>385</v>
      </c>
    </row>
    <row r="11" customFormat="false" ht="15" hidden="false" customHeight="true" outlineLevel="0" collapsed="false">
      <c r="A11" s="4" t="s">
        <v>386</v>
      </c>
    </row>
    <row r="12" customFormat="false" ht="15" hidden="false" customHeight="true" outlineLevel="0" collapsed="false">
      <c r="A12" s="4" t="s">
        <v>387</v>
      </c>
    </row>
    <row r="13" customFormat="false" ht="15" hidden="false" customHeight="true" outlineLevel="0" collapsed="false">
      <c r="A13" s="4" t="s">
        <v>388</v>
      </c>
    </row>
    <row r="14" customFormat="false" ht="15" hidden="false" customHeight="true" outlineLevel="0" collapsed="false">
      <c r="A14" s="4" t="s">
        <v>389</v>
      </c>
    </row>
    <row r="15" customFormat="false" ht="15" hidden="false" customHeight="true" outlineLevel="0" collapsed="false">
      <c r="A15" s="4" t="s">
        <v>390</v>
      </c>
    </row>
    <row r="16" customFormat="false" ht="15" hidden="false" customHeight="true" outlineLevel="0" collapsed="false">
      <c r="A16" s="4"/>
    </row>
    <row r="17" customFormat="false" ht="15" hidden="false" customHeight="true" outlineLevel="0" collapsed="false">
      <c r="A17" s="4" t="s">
        <v>391</v>
      </c>
    </row>
    <row r="18" customFormat="false" ht="15" hidden="false" customHeight="true" outlineLevel="0" collapsed="false">
      <c r="A18" s="4" t="s">
        <v>392</v>
      </c>
    </row>
    <row r="19" customFormat="false" ht="15" hidden="false" customHeight="true" outlineLevel="0" collapsed="false">
      <c r="A19" s="4" t="s">
        <v>393</v>
      </c>
    </row>
    <row r="20" customFormat="false" ht="15" hidden="false" customHeight="true" outlineLevel="0" collapsed="false">
      <c r="A20" s="4" t="s">
        <v>394</v>
      </c>
    </row>
    <row r="21" customFormat="false" ht="15" hidden="false" customHeight="true" outlineLevel="0" collapsed="false">
      <c r="A21" s="4" t="s">
        <v>395</v>
      </c>
    </row>
    <row r="22" customFormat="false" ht="15" hidden="false" customHeight="true" outlineLevel="0" collapsed="false">
      <c r="A22" s="4"/>
    </row>
    <row r="23" customFormat="false" ht="15" hidden="false" customHeight="true" outlineLevel="0" collapsed="false">
      <c r="A23" s="4" t="s">
        <v>396</v>
      </c>
    </row>
    <row r="24" customFormat="false" ht="15" hidden="false" customHeight="true" outlineLevel="0" collapsed="false">
      <c r="A24" s="4" t="s">
        <v>397</v>
      </c>
    </row>
    <row r="25" customFormat="false" ht="15" hidden="false" customHeight="true" outlineLevel="0" collapsed="false">
      <c r="A25" s="4" t="s">
        <v>398</v>
      </c>
    </row>
    <row r="26" customFormat="false" ht="15" hidden="false" customHeight="true" outlineLevel="0" collapsed="false">
      <c r="A26" s="4" t="s">
        <v>399</v>
      </c>
    </row>
    <row r="27" customFormat="false" ht="15" hidden="false" customHeight="true" outlineLevel="0" collapsed="false">
      <c r="A27" s="4"/>
    </row>
    <row r="28" customFormat="false" ht="15" hidden="false" customHeight="true" outlineLevel="0" collapsed="false">
      <c r="A28" s="4" t="s">
        <v>400</v>
      </c>
    </row>
    <row r="29" customFormat="false" ht="15" hidden="false" customHeight="true" outlineLevel="0" collapsed="false">
      <c r="A29" s="4" t="s">
        <v>401</v>
      </c>
    </row>
    <row r="30" customFormat="false" ht="15" hidden="false" customHeight="true" outlineLevel="0" collapsed="false">
      <c r="A30" s="4" t="s">
        <v>402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17" min="2" style="1" width="14"/>
  </cols>
  <sheetData>
    <row r="1" customFormat="false" ht="17.25" hidden="false" customHeight="true" outlineLevel="0" collapsed="false">
      <c r="A1" s="3" t="s">
        <v>403</v>
      </c>
    </row>
    <row r="3" customFormat="false" ht="15" hidden="false" customHeight="true" outlineLevel="0" collapsed="false">
      <c r="A3" s="5" t="s">
        <v>4</v>
      </c>
      <c r="B3" s="5" t="s">
        <v>36</v>
      </c>
      <c r="C3" s="5" t="s">
        <v>38</v>
      </c>
      <c r="D3" s="5" t="s">
        <v>39</v>
      </c>
      <c r="E3" s="5" t="s">
        <v>40</v>
      </c>
      <c r="F3" s="5" t="s">
        <v>41</v>
      </c>
      <c r="G3" s="5" t="s">
        <v>42</v>
      </c>
      <c r="H3" s="5" t="s">
        <v>32</v>
      </c>
      <c r="I3" s="5" t="s">
        <v>9</v>
      </c>
      <c r="J3" s="5" t="s">
        <v>43</v>
      </c>
      <c r="K3" s="5" t="s">
        <v>44</v>
      </c>
      <c r="L3" s="5" t="s">
        <v>45</v>
      </c>
      <c r="M3" s="5" t="s">
        <v>46</v>
      </c>
      <c r="N3" s="5" t="s">
        <v>59</v>
      </c>
      <c r="O3" s="5" t="s">
        <v>61</v>
      </c>
      <c r="P3" s="5" t="s">
        <v>404</v>
      </c>
      <c r="Q3" s="5" t="s">
        <v>405</v>
      </c>
    </row>
    <row r="4" customFormat="false" ht="15" hidden="false" customHeight="true" outlineLevel="0" collapsed="false">
      <c r="A4" s="6" t="s">
        <v>406</v>
      </c>
      <c r="B4" s="7" t="n">
        <f aca="false">SUMIFS(Gastos!$G$2:$G$521,Gastos!$A$2:$A$521,"2026-01",Gastos!$F$2:$F$521,"Fijo")</f>
        <v>3133982</v>
      </c>
      <c r="C4" s="7" t="n">
        <f aca="false">SUMIFS(Gastos!$G$2:$G$521,Gastos!$A$2:$A$521,"2026-02",Gastos!$F$2:$F$521,"Fijo")</f>
        <v>5264720</v>
      </c>
      <c r="D4" s="7" t="n">
        <f aca="false">SUMIFS(Gastos!$G$2:$G$521,Gastos!$A$2:$A$521,"2026-03",Gastos!$F$2:$F$521,"Fijo")</f>
        <v>5882425</v>
      </c>
      <c r="E4" s="7" t="n">
        <f aca="false">SUMIFS(Gastos!$G$2:$G$521,Gastos!$A$2:$A$521,"2026-04",Gastos!$F$2:$F$521,"Fijo")</f>
        <v>5823043</v>
      </c>
      <c r="F4" s="7" t="n">
        <f aca="false">SUMIFS(Gastos!$G$2:$G$521,Gastos!$A$2:$A$521,"2026-05",Gastos!$F$2:$F$521,"Fijo")</f>
        <v>5981618</v>
      </c>
      <c r="G4" s="7" t="n">
        <f aca="false">SUMIFS(Gastos!$G$2:$G$521,Gastos!$A$2:$A$521,"2026-06",Gastos!$F$2:$F$521,"Fijo")</f>
        <v>5949233</v>
      </c>
      <c r="H4" s="7" t="n">
        <f aca="false">SUMIFS(Gastos!$G$2:$G$521,Gastos!$A$2:$A$521,"2026-07",Gastos!$F$2:$F$521,"Fijo")</f>
        <v>6977171</v>
      </c>
      <c r="I4" s="7" t="n">
        <f aca="false">SUMIFS(Gastos!$G$2:$G$521,Gastos!$A$2:$A$521,"2026-08",Gastos!$F$2:$F$521,"Fijo")</f>
        <v>7634299</v>
      </c>
      <c r="J4" s="7" t="n">
        <f aca="false">SUMIFS(Gastos!$G$2:$G$521,Gastos!$A$2:$A$521,"2026-09",Gastos!$F$2:$F$521,"Fijo")</f>
        <v>6773164</v>
      </c>
      <c r="K4" s="7" t="n">
        <f aca="false">SUMIFS(Gastos!$G$2:$G$521,Gastos!$A$2:$A$521,"2026-10",Gastos!$F$2:$F$521,"Fijo")</f>
        <v>5463132</v>
      </c>
      <c r="L4" s="7" t="n">
        <f aca="false">SUMIFS(Gastos!$G$2:$G$521,Gastos!$A$2:$A$521,"2026-11",Gastos!$F$2:$F$521,"Fijo")</f>
        <v>5463132</v>
      </c>
      <c r="M4" s="7" t="n">
        <f aca="false">SUMIFS(Gastos!$G$2:$G$521,Gastos!$A$2:$A$521,"2026-12",Gastos!$F$2:$F$521,"Fijo")</f>
        <v>3118132</v>
      </c>
      <c r="N4" s="7" t="n">
        <f aca="false">SUMIFS(Gastos!$G$2:$G$521,Gastos!$A$2:$A$521,"2027-01",Gastos!$F$2:$F$521,"Fijo")</f>
        <v>505932</v>
      </c>
      <c r="O4" s="7" t="n">
        <f aca="false">SUMIFS(Gastos!$G$2:$G$521,Gastos!$A$2:$A$521,"2027-02",Gastos!$F$2:$F$521,"Fijo")</f>
        <v>505932</v>
      </c>
      <c r="P4" s="7" t="n">
        <f aca="false">SUMIFS(Gastos!$G$2:$G$521,Gastos!$A$2:$A$521,"2027-03",Gastos!$F$2:$F$521,"Fijo")</f>
        <v>0</v>
      </c>
      <c r="Q4" s="8" t="n">
        <f aca="false">SUM(B4:P4)</f>
        <v>68475915</v>
      </c>
    </row>
    <row r="5" customFormat="false" ht="15" hidden="false" customHeight="true" outlineLevel="0" collapsed="false">
      <c r="A5" s="6" t="s">
        <v>407</v>
      </c>
      <c r="B5" s="7" t="n">
        <f aca="false">SUMIFS(Gastos!$G$2:$G$521,Gastos!$A$2:$A$521,"2026-01",Gastos!$F$2:$F$521,"Variable")</f>
        <v>6304755</v>
      </c>
      <c r="C5" s="7" t="n">
        <f aca="false">SUMIFS(Gastos!$G$2:$G$521,Gastos!$A$2:$A$521,"2026-02",Gastos!$F$2:$F$521,"Variable")</f>
        <v>9626002</v>
      </c>
      <c r="D5" s="7" t="n">
        <f aca="false">SUMIFS(Gastos!$G$2:$G$521,Gastos!$A$2:$A$521,"2026-03",Gastos!$F$2:$F$521,"Variable")</f>
        <v>8177007</v>
      </c>
      <c r="E5" s="7" t="n">
        <f aca="false">SUMIFS(Gastos!$G$2:$G$521,Gastos!$A$2:$A$521,"2026-04",Gastos!$F$2:$F$521,"Variable")</f>
        <v>9970945</v>
      </c>
      <c r="F5" s="7" t="n">
        <f aca="false">SUMIFS(Gastos!$G$2:$G$521,Gastos!$A$2:$A$521,"2026-05",Gastos!$F$2:$F$521,"Variable")</f>
        <v>10299475</v>
      </c>
      <c r="G5" s="7" t="n">
        <f aca="false">SUMIFS(Gastos!$G$2:$G$521,Gastos!$A$2:$A$521,"2026-06",Gastos!$F$2:$F$521,"Variable")</f>
        <v>30893365</v>
      </c>
      <c r="H5" s="7" t="n">
        <f aca="false">SUMIFS(Gastos!$G$2:$G$521,Gastos!$A$2:$A$521,"2026-07",Gastos!$F$2:$F$521,"Variable")</f>
        <v>6757280</v>
      </c>
      <c r="I5" s="7" t="n">
        <f aca="false">SUMIFS(Gastos!$G$2:$G$521,Gastos!$A$2:$A$521,"2026-08",Gastos!$F$2:$F$521,"Variable")</f>
        <v>20515574</v>
      </c>
      <c r="J5" s="7" t="n">
        <f aca="false">SUMIFS(Gastos!$G$2:$G$521,Gastos!$A$2:$A$521,"2026-09",Gastos!$F$2:$F$521,"Variable")</f>
        <v>1464540</v>
      </c>
      <c r="K5" s="7" t="n">
        <f aca="false">SUMIFS(Gastos!$G$2:$G$521,Gastos!$A$2:$A$521,"2026-10",Gastos!$F$2:$F$521,"Variable")</f>
        <v>1040000</v>
      </c>
      <c r="L5" s="7" t="n">
        <f aca="false">SUMIFS(Gastos!$G$2:$G$521,Gastos!$A$2:$A$521,"2026-11",Gastos!$F$2:$F$521,"Variable")</f>
        <v>1040000</v>
      </c>
      <c r="M5" s="7" t="n">
        <f aca="false">SUMIFS(Gastos!$G$2:$G$521,Gastos!$A$2:$A$521,"2026-12",Gastos!$F$2:$F$521,"Variable")</f>
        <v>1040000</v>
      </c>
      <c r="N5" s="7" t="n">
        <f aca="false">SUMIFS(Gastos!$G$2:$G$521,Gastos!$A$2:$A$521,"2027-01",Gastos!$F$2:$F$521,"Variable")</f>
        <v>0</v>
      </c>
      <c r="O5" s="7" t="n">
        <f aca="false">SUMIFS(Gastos!$G$2:$G$521,Gastos!$A$2:$A$521,"2027-02",Gastos!$F$2:$F$521,"Variable")</f>
        <v>0</v>
      </c>
      <c r="P5" s="7" t="n">
        <f aca="false">SUMIFS(Gastos!$G$2:$G$521,Gastos!$A$2:$A$521,"2027-03",Gastos!$F$2:$F$521,"Variable")</f>
        <v>0</v>
      </c>
      <c r="Q5" s="8" t="n">
        <f aca="false">SUM(B5:P5)</f>
        <v>107128943</v>
      </c>
    </row>
    <row r="6" customFormat="false" ht="15" hidden="false" customHeight="true" outlineLevel="0" collapsed="false">
      <c r="A6" s="6" t="s">
        <v>408</v>
      </c>
      <c r="B6" s="7" t="n">
        <f aca="false">B4+B5</f>
        <v>9438737</v>
      </c>
      <c r="C6" s="7" t="n">
        <f aca="false">C4+C5</f>
        <v>14890722</v>
      </c>
      <c r="D6" s="7" t="n">
        <f aca="false">D4+D5</f>
        <v>14059432</v>
      </c>
      <c r="E6" s="7" t="n">
        <f aca="false">E4+E5</f>
        <v>15793988</v>
      </c>
      <c r="F6" s="7" t="n">
        <f aca="false">F4+F5</f>
        <v>16281093</v>
      </c>
      <c r="G6" s="7" t="n">
        <f aca="false">G4+G5</f>
        <v>36842598</v>
      </c>
      <c r="H6" s="7" t="n">
        <f aca="false">H4+H5</f>
        <v>13734451</v>
      </c>
      <c r="I6" s="7" t="n">
        <f aca="false">I4+I5</f>
        <v>28149873</v>
      </c>
      <c r="J6" s="7" t="n">
        <f aca="false">J4+J5</f>
        <v>8237704</v>
      </c>
      <c r="K6" s="7" t="n">
        <f aca="false">K4+K5</f>
        <v>6503132</v>
      </c>
      <c r="L6" s="7" t="n">
        <f aca="false">L4+L5</f>
        <v>6503132</v>
      </c>
      <c r="M6" s="7" t="n">
        <f aca="false">M4+M5</f>
        <v>4158132</v>
      </c>
      <c r="N6" s="7" t="n">
        <f aca="false">N4+N5</f>
        <v>505932</v>
      </c>
      <c r="O6" s="7" t="n">
        <f aca="false">O4+O5</f>
        <v>505932</v>
      </c>
      <c r="P6" s="7" t="n">
        <f aca="false">P4+P5</f>
        <v>0</v>
      </c>
      <c r="Q6" s="8" t="n">
        <f aca="false">Q4+Q5</f>
        <v>175604858</v>
      </c>
    </row>
    <row r="8" customFormat="false" ht="15" hidden="false" customHeight="true" outlineLevel="0" collapsed="false">
      <c r="A8" s="9" t="s">
        <v>409</v>
      </c>
    </row>
    <row r="9" customFormat="false" ht="15" hidden="false" customHeight="true" outlineLevel="0" collapsed="false">
      <c r="A9" s="4" t="s">
        <v>10</v>
      </c>
      <c r="B9" s="7" t="n">
        <f aca="false">SUMIFS(Gastos!$G$2:$G$521,Gastos!$A$2:$A$521,"2026-01",Gastos!$B$2:$B$521,"Servicios")</f>
        <v>286542</v>
      </c>
      <c r="C9" s="7" t="n">
        <f aca="false">SUMIFS(Gastos!$G$2:$G$521,Gastos!$A$2:$A$521,"2026-02",Gastos!$B$2:$B$521,"Servicios")</f>
        <v>883152</v>
      </c>
      <c r="D9" s="7" t="n">
        <f aca="false">SUMIFS(Gastos!$G$2:$G$521,Gastos!$A$2:$A$521,"2026-03",Gastos!$B$2:$B$521,"Servicios")</f>
        <v>1048593</v>
      </c>
      <c r="E9" s="7" t="n">
        <f aca="false">SUMIFS(Gastos!$G$2:$G$521,Gastos!$A$2:$A$521,"2026-04",Gastos!$B$2:$B$521,"Servicios")</f>
        <v>783677</v>
      </c>
      <c r="F9" s="7" t="n">
        <f aca="false">SUMIFS(Gastos!$G$2:$G$521,Gastos!$A$2:$A$521,"2026-05",Gastos!$B$2:$B$521,"Servicios")</f>
        <v>826352</v>
      </c>
      <c r="G9" s="7" t="n">
        <f aca="false">SUMIFS(Gastos!$G$2:$G$521,Gastos!$A$2:$A$521,"2026-06",Gastos!$B$2:$B$521,"Servicios")</f>
        <v>624134</v>
      </c>
      <c r="H9" s="7" t="n">
        <f aca="false">SUMIFS(Gastos!$G$2:$G$521,Gastos!$A$2:$A$521,"2026-07",Gastos!$B$2:$B$521,"Servicios")</f>
        <v>633304</v>
      </c>
      <c r="I9" s="7" t="n">
        <f aca="false">SUMIFS(Gastos!$G$2:$G$521,Gastos!$A$2:$A$521,"2026-08",Gastos!$B$2:$B$521,"Servicios")</f>
        <v>680440</v>
      </c>
      <c r="J9" s="7" t="n">
        <f aca="false">SUMIFS(Gastos!$G$2:$G$521,Gastos!$A$2:$A$521,"2026-09",Gastos!$B$2:$B$521,"Servicios")</f>
        <v>672140</v>
      </c>
      <c r="K9" s="7" t="n">
        <f aca="false">SUMIFS(Gastos!$G$2:$G$521,Gastos!$A$2:$A$521,"2026-10",Gastos!$B$2:$B$521,"Servicios")</f>
        <v>410000</v>
      </c>
      <c r="L9" s="7" t="n">
        <f aca="false">SUMIFS(Gastos!$G$2:$G$521,Gastos!$A$2:$A$521,"2026-11",Gastos!$B$2:$B$521,"Servicios")</f>
        <v>410000</v>
      </c>
      <c r="M9" s="7" t="n">
        <f aca="false">SUMIFS(Gastos!$G$2:$G$521,Gastos!$A$2:$A$521,"2026-12",Gastos!$B$2:$B$521,"Servicios")</f>
        <v>410000</v>
      </c>
      <c r="N9" s="7" t="n">
        <f aca="false">SUMIFS(Gastos!$G$2:$G$521,Gastos!$A$2:$A$521,"2027-01",Gastos!$B$2:$B$521,"Servicios")</f>
        <v>0</v>
      </c>
      <c r="O9" s="7" t="n">
        <f aca="false">SUMIFS(Gastos!$G$2:$G$521,Gastos!$A$2:$A$521,"2027-02",Gastos!$B$2:$B$521,"Servicios")</f>
        <v>0</v>
      </c>
      <c r="P9" s="7" t="n">
        <f aca="false">SUMIFS(Gastos!$G$2:$G$521,Gastos!$A$2:$A$521,"2027-03",Gastos!$B$2:$B$521,"Servicios")</f>
        <v>0</v>
      </c>
      <c r="Q9" s="7" t="n">
        <f aca="false">SUM(B9:P9)</f>
        <v>7668334</v>
      </c>
    </row>
    <row r="10" customFormat="false" ht="15" hidden="false" customHeight="true" outlineLevel="0" collapsed="false">
      <c r="A10" s="4" t="s">
        <v>16</v>
      </c>
      <c r="B10" s="7" t="n">
        <f aca="false">SUMIFS(Gastos!$G$2:$G$521,Gastos!$A$2:$A$521,"2026-01",Gastos!$B$2:$B$521,"Telecomunicaciones")</f>
        <v>260000</v>
      </c>
      <c r="C10" s="7" t="n">
        <f aca="false">SUMIFS(Gastos!$G$2:$G$521,Gastos!$A$2:$A$521,"2026-02",Gastos!$B$2:$B$521,"Telecomunicaciones")</f>
        <v>260000</v>
      </c>
      <c r="D10" s="7" t="n">
        <f aca="false">SUMIFS(Gastos!$G$2:$G$521,Gastos!$A$2:$A$521,"2026-03",Gastos!$B$2:$B$521,"Telecomunicaciones")</f>
        <v>260000</v>
      </c>
      <c r="E10" s="7" t="n">
        <f aca="false">SUMIFS(Gastos!$G$2:$G$521,Gastos!$A$2:$A$521,"2026-04",Gastos!$B$2:$B$521,"Telecomunicaciones")</f>
        <v>260000</v>
      </c>
      <c r="F10" s="7" t="n">
        <f aca="false">SUMIFS(Gastos!$G$2:$G$521,Gastos!$A$2:$A$521,"2026-05",Gastos!$B$2:$B$521,"Telecomunicaciones")</f>
        <v>260000</v>
      </c>
      <c r="G10" s="7" t="n">
        <f aca="false">SUMIFS(Gastos!$G$2:$G$521,Gastos!$A$2:$A$521,"2026-06",Gastos!$B$2:$B$521,"Telecomunicaciones")</f>
        <v>262000</v>
      </c>
      <c r="H10" s="7" t="n">
        <f aca="false">SUMIFS(Gastos!$G$2:$G$521,Gastos!$A$2:$A$521,"2026-07",Gastos!$B$2:$B$521,"Telecomunicaciones")</f>
        <v>130000</v>
      </c>
      <c r="I10" s="7" t="n">
        <f aca="false">SUMIFS(Gastos!$G$2:$G$521,Gastos!$A$2:$A$521,"2026-08",Gastos!$B$2:$B$521,"Telecomunicaciones")</f>
        <v>260000</v>
      </c>
      <c r="J10" s="7" t="n">
        <f aca="false">SUMIFS(Gastos!$G$2:$G$521,Gastos!$A$2:$A$521,"2026-09",Gastos!$B$2:$B$521,"Telecomunicaciones")</f>
        <v>270000</v>
      </c>
      <c r="K10" s="7" t="n">
        <f aca="false">SUMIFS(Gastos!$G$2:$G$521,Gastos!$A$2:$A$521,"2026-10",Gastos!$B$2:$B$521,"Telecomunicaciones")</f>
        <v>260000</v>
      </c>
      <c r="L10" s="7" t="n">
        <f aca="false">SUMIFS(Gastos!$G$2:$G$521,Gastos!$A$2:$A$521,"2026-11",Gastos!$B$2:$B$521,"Telecomunicaciones")</f>
        <v>260000</v>
      </c>
      <c r="M10" s="7" t="n">
        <f aca="false">SUMIFS(Gastos!$G$2:$G$521,Gastos!$A$2:$A$521,"2026-12",Gastos!$B$2:$B$521,"Telecomunicaciones")</f>
        <v>260000</v>
      </c>
      <c r="N10" s="7" t="n">
        <f aca="false">SUMIFS(Gastos!$G$2:$G$521,Gastos!$A$2:$A$521,"2027-01",Gastos!$B$2:$B$521,"Telecomunicaciones")</f>
        <v>0</v>
      </c>
      <c r="O10" s="7" t="n">
        <f aca="false">SUMIFS(Gastos!$G$2:$G$521,Gastos!$A$2:$A$521,"2027-02",Gastos!$B$2:$B$521,"Telecomunicaciones")</f>
        <v>0</v>
      </c>
      <c r="P10" s="7" t="n">
        <f aca="false">SUMIFS(Gastos!$G$2:$G$521,Gastos!$A$2:$A$521,"2027-03",Gastos!$B$2:$B$521,"Telecomunicaciones")</f>
        <v>0</v>
      </c>
      <c r="Q10" s="7" t="n">
        <f aca="false">SUM(B10:P10)</f>
        <v>3002000</v>
      </c>
    </row>
    <row r="11" customFormat="false" ht="15" hidden="false" customHeight="true" outlineLevel="0" collapsed="false">
      <c r="A11" s="4" t="s">
        <v>19</v>
      </c>
      <c r="B11" s="7" t="n">
        <f aca="false">SUMIFS(Gastos!$G$2:$G$521,Gastos!$A$2:$A$521,"2026-01",Gastos!$B$2:$B$521,"Educación")</f>
        <v>0</v>
      </c>
      <c r="C11" s="7" t="n">
        <f aca="false">SUMIFS(Gastos!$G$2:$G$521,Gastos!$A$2:$A$521,"2026-02",Gastos!$B$2:$B$521,"Educación")</f>
        <v>2345000</v>
      </c>
      <c r="D11" s="7" t="n">
        <f aca="false">SUMIFS(Gastos!$G$2:$G$521,Gastos!$A$2:$A$521,"2026-03",Gastos!$B$2:$B$521,"Educación")</f>
        <v>3385000</v>
      </c>
      <c r="E11" s="7" t="n">
        <f aca="false">SUMIFS(Gastos!$G$2:$G$521,Gastos!$A$2:$A$521,"2026-04",Gastos!$B$2:$B$521,"Educación")</f>
        <v>3385000</v>
      </c>
      <c r="F11" s="7" t="n">
        <f aca="false">SUMIFS(Gastos!$G$2:$G$521,Gastos!$A$2:$A$521,"2026-05",Gastos!$B$2:$B$521,"Educación")</f>
        <v>3385000</v>
      </c>
      <c r="G11" s="7" t="n">
        <f aca="false">SUMIFS(Gastos!$G$2:$G$521,Gastos!$A$2:$A$521,"2026-06",Gastos!$B$2:$B$521,"Educación")</f>
        <v>3385000</v>
      </c>
      <c r="H11" s="7" t="n">
        <f aca="false">SUMIFS(Gastos!$G$2:$G$521,Gastos!$A$2:$A$521,"2026-07",Gastos!$B$2:$B$521,"Educación")</f>
        <v>3385000</v>
      </c>
      <c r="I11" s="7" t="n">
        <f aca="false">SUMIFS(Gastos!$G$2:$G$521,Gastos!$A$2:$A$521,"2026-08",Gastos!$B$2:$B$521,"Educación")</f>
        <v>3385000</v>
      </c>
      <c r="J11" s="7" t="n">
        <f aca="false">SUMIFS(Gastos!$G$2:$G$521,Gastos!$A$2:$A$521,"2026-09",Gastos!$B$2:$B$521,"Educación")</f>
        <v>3385000</v>
      </c>
      <c r="K11" s="7" t="n">
        <f aca="false">SUMIFS(Gastos!$G$2:$G$521,Gastos!$A$2:$A$521,"2026-10",Gastos!$B$2:$B$521,"Educación")</f>
        <v>3385000</v>
      </c>
      <c r="L11" s="7" t="n">
        <f aca="false">SUMIFS(Gastos!$G$2:$G$521,Gastos!$A$2:$A$521,"2026-11",Gastos!$B$2:$B$521,"Educación")</f>
        <v>3385000</v>
      </c>
      <c r="M11" s="7" t="n">
        <f aca="false">SUMIFS(Gastos!$G$2:$G$521,Gastos!$A$2:$A$521,"2026-12",Gastos!$B$2:$B$521,"Educación")</f>
        <v>1040000</v>
      </c>
      <c r="N11" s="7" t="n">
        <f aca="false">SUMIFS(Gastos!$G$2:$G$521,Gastos!$A$2:$A$521,"2027-01",Gastos!$B$2:$B$521,"Educación")</f>
        <v>0</v>
      </c>
      <c r="O11" s="7" t="n">
        <f aca="false">SUMIFS(Gastos!$G$2:$G$521,Gastos!$A$2:$A$521,"2027-02",Gastos!$B$2:$B$521,"Educación")</f>
        <v>0</v>
      </c>
      <c r="P11" s="7" t="n">
        <f aca="false">SUMIFS(Gastos!$G$2:$G$521,Gastos!$A$2:$A$521,"2027-03",Gastos!$B$2:$B$521,"Educación")</f>
        <v>0</v>
      </c>
      <c r="Q11" s="7" t="n">
        <f aca="false">SUM(B11:P11)</f>
        <v>33850000</v>
      </c>
    </row>
    <row r="12" customFormat="false" ht="15" hidden="false" customHeight="true" outlineLevel="0" collapsed="false">
      <c r="A12" s="4" t="s">
        <v>21</v>
      </c>
      <c r="B12" s="7" t="n">
        <f aca="false">SUMIFS(Gastos!$G$2:$G$521,Gastos!$A$2:$A$521,"2026-01",Gastos!$B$2:$B$521,"Salud")</f>
        <v>1256200</v>
      </c>
      <c r="C12" s="7" t="n">
        <f aca="false">SUMIFS(Gastos!$G$2:$G$521,Gastos!$A$2:$A$521,"2026-02",Gastos!$B$2:$B$521,"Salud")</f>
        <v>1256200</v>
      </c>
      <c r="D12" s="7" t="n">
        <f aca="false">SUMIFS(Gastos!$G$2:$G$521,Gastos!$A$2:$A$521,"2026-03",Gastos!$B$2:$B$521,"Salud")</f>
        <v>1548449</v>
      </c>
      <c r="E12" s="7" t="n">
        <f aca="false">SUMIFS(Gastos!$G$2:$G$521,Gastos!$A$2:$A$521,"2026-04",Gastos!$B$2:$B$521,"Salud")</f>
        <v>1256200</v>
      </c>
      <c r="F12" s="7" t="n">
        <f aca="false">SUMIFS(Gastos!$G$2:$G$521,Gastos!$A$2:$A$521,"2026-05",Gastos!$B$2:$B$521,"Salud")</f>
        <v>1306200</v>
      </c>
      <c r="G12" s="7" t="n">
        <f aca="false">SUMIFS(Gastos!$G$2:$G$521,Gastos!$A$2:$A$521,"2026-06",Gastos!$B$2:$B$521,"Salud")</f>
        <v>1256200</v>
      </c>
      <c r="H12" s="7" t="n">
        <f aca="false">SUMIFS(Gastos!$G$2:$G$521,Gastos!$A$2:$A$521,"2026-07",Gastos!$B$2:$B$521,"Salud")</f>
        <v>1256200</v>
      </c>
      <c r="I12" s="7" t="n">
        <f aca="false">SUMIFS(Gastos!$G$2:$G$521,Gastos!$A$2:$A$521,"2026-08",Gastos!$B$2:$B$521,"Salud")</f>
        <v>1834914</v>
      </c>
      <c r="J12" s="7" t="n">
        <f aca="false">SUMIFS(Gastos!$G$2:$G$521,Gastos!$A$2:$A$521,"2026-09",Gastos!$B$2:$B$521,"Salud")</f>
        <v>1256200</v>
      </c>
      <c r="K12" s="7" t="n">
        <f aca="false">SUMIFS(Gastos!$G$2:$G$521,Gastos!$A$2:$A$521,"2026-10",Gastos!$B$2:$B$521,"Salud")</f>
        <v>1256200</v>
      </c>
      <c r="L12" s="7" t="n">
        <f aca="false">SUMIFS(Gastos!$G$2:$G$521,Gastos!$A$2:$A$521,"2026-11",Gastos!$B$2:$B$521,"Salud")</f>
        <v>1256200</v>
      </c>
      <c r="M12" s="7" t="n">
        <f aca="false">SUMIFS(Gastos!$G$2:$G$521,Gastos!$A$2:$A$521,"2026-12",Gastos!$B$2:$B$521,"Salud")</f>
        <v>1256200</v>
      </c>
      <c r="N12" s="7" t="n">
        <f aca="false">SUMIFS(Gastos!$G$2:$G$521,Gastos!$A$2:$A$521,"2027-01",Gastos!$B$2:$B$521,"Salud")</f>
        <v>0</v>
      </c>
      <c r="O12" s="7" t="n">
        <f aca="false">SUMIFS(Gastos!$G$2:$G$521,Gastos!$A$2:$A$521,"2027-02",Gastos!$B$2:$B$521,"Salud")</f>
        <v>0</v>
      </c>
      <c r="P12" s="7" t="n">
        <f aca="false">SUMIFS(Gastos!$G$2:$G$521,Gastos!$A$2:$A$521,"2027-03",Gastos!$B$2:$B$521,"Salud")</f>
        <v>0</v>
      </c>
      <c r="Q12" s="7" t="n">
        <f aca="false">SUM(B12:P12)</f>
        <v>15995363</v>
      </c>
    </row>
    <row r="13" customFormat="false" ht="15" hidden="false" customHeight="true" outlineLevel="0" collapsed="false">
      <c r="A13" s="4" t="s">
        <v>27</v>
      </c>
      <c r="B13" s="7" t="n">
        <f aca="false">SUMIFS(Gastos!$G$2:$G$521,Gastos!$A$2:$A$521,"2026-01",Gastos!$B$2:$B$521,"Seguros")</f>
        <v>1057700</v>
      </c>
      <c r="C13" s="7" t="n">
        <f aca="false">SUMIFS(Gastos!$G$2:$G$521,Gastos!$A$2:$A$521,"2026-02",Gastos!$B$2:$B$521,"Seguros")</f>
        <v>710897</v>
      </c>
      <c r="D13" s="7" t="n">
        <f aca="false">SUMIFS(Gastos!$G$2:$G$521,Gastos!$A$2:$A$521,"2026-03",Gastos!$B$2:$B$521,"Seguros")</f>
        <v>708661</v>
      </c>
      <c r="E13" s="7" t="n">
        <f aca="false">SUMIFS(Gastos!$G$2:$G$521,Gastos!$A$2:$A$521,"2026-04",Gastos!$B$2:$B$521,"Seguros")</f>
        <v>730525</v>
      </c>
      <c r="F13" s="7" t="n">
        <f aca="false">SUMIFS(Gastos!$G$2:$G$521,Gastos!$A$2:$A$521,"2026-05",Gastos!$B$2:$B$521,"Seguros")</f>
        <v>728410</v>
      </c>
      <c r="G13" s="7" t="n">
        <f aca="false">SUMIFS(Gastos!$G$2:$G$521,Gastos!$A$2:$A$521,"2026-06",Gastos!$B$2:$B$521,"Seguros")</f>
        <v>1086789</v>
      </c>
      <c r="H13" s="7" t="n">
        <f aca="false">SUMIFS(Gastos!$G$2:$G$521,Gastos!$A$2:$A$521,"2026-07",Gastos!$B$2:$B$521,"Seguros")</f>
        <v>814937</v>
      </c>
      <c r="I13" s="7" t="n">
        <f aca="false">SUMIFS(Gastos!$G$2:$G$521,Gastos!$A$2:$A$521,"2026-08",Gastos!$B$2:$B$521,"Seguros")</f>
        <v>770510</v>
      </c>
      <c r="J13" s="7" t="n">
        <f aca="false">SUMIFS(Gastos!$G$2:$G$521,Gastos!$A$2:$A$521,"2026-09",Gastos!$B$2:$B$521,"Seguros")</f>
        <v>686000</v>
      </c>
      <c r="K13" s="7" t="n">
        <f aca="false">SUMIFS(Gastos!$G$2:$G$521,Gastos!$A$2:$A$521,"2026-10",Gastos!$B$2:$B$521,"Seguros")</f>
        <v>686000</v>
      </c>
      <c r="L13" s="7" t="n">
        <f aca="false">SUMIFS(Gastos!$G$2:$G$521,Gastos!$A$2:$A$521,"2026-11",Gastos!$B$2:$B$521,"Seguros")</f>
        <v>686000</v>
      </c>
      <c r="M13" s="7" t="n">
        <f aca="false">SUMIFS(Gastos!$G$2:$G$521,Gastos!$A$2:$A$521,"2026-12",Gastos!$B$2:$B$521,"Seguros")</f>
        <v>686000</v>
      </c>
      <c r="N13" s="7" t="n">
        <f aca="false">SUMIFS(Gastos!$G$2:$G$521,Gastos!$A$2:$A$521,"2027-01",Gastos!$B$2:$B$521,"Seguros")</f>
        <v>0</v>
      </c>
      <c r="O13" s="7" t="n">
        <f aca="false">SUMIFS(Gastos!$G$2:$G$521,Gastos!$A$2:$A$521,"2027-02",Gastos!$B$2:$B$521,"Seguros")</f>
        <v>0</v>
      </c>
      <c r="P13" s="7" t="n">
        <f aca="false">SUMIFS(Gastos!$G$2:$G$521,Gastos!$A$2:$A$521,"2027-03",Gastos!$B$2:$B$521,"Seguros")</f>
        <v>0</v>
      </c>
      <c r="Q13" s="7" t="n">
        <f aca="false">SUM(B13:P13)</f>
        <v>9352429</v>
      </c>
    </row>
    <row r="14" customFormat="false" ht="15" hidden="false" customHeight="true" outlineLevel="0" collapsed="false">
      <c r="A14" s="4" t="s">
        <v>29</v>
      </c>
      <c r="B14" s="7" t="n">
        <f aca="false">SUMIFS(Gastos!$G$2:$G$521,Gastos!$A$2:$A$521,"2026-01",Gastos!$B$2:$B$521,"Suscripciones")</f>
        <v>343055</v>
      </c>
      <c r="C14" s="7" t="n">
        <f aca="false">SUMIFS(Gastos!$G$2:$G$521,Gastos!$A$2:$A$521,"2026-02",Gastos!$B$2:$B$521,"Suscripciones")</f>
        <v>281793</v>
      </c>
      <c r="D14" s="7" t="n">
        <f aca="false">SUMIFS(Gastos!$G$2:$G$521,Gastos!$A$2:$A$521,"2026-03",Gastos!$B$2:$B$521,"Suscripciones")</f>
        <v>396566</v>
      </c>
      <c r="E14" s="7" t="n">
        <f aca="false">SUMIFS(Gastos!$G$2:$G$521,Gastos!$A$2:$A$521,"2026-04",Gastos!$B$2:$B$521,"Suscripciones")</f>
        <v>337184</v>
      </c>
      <c r="F14" s="7" t="n">
        <f aca="false">SUMIFS(Gastos!$G$2:$G$521,Gastos!$A$2:$A$521,"2026-05",Gastos!$B$2:$B$521,"Suscripciones")</f>
        <v>495759</v>
      </c>
      <c r="G14" s="7" t="n">
        <f aca="false">SUMIFS(Gastos!$G$2:$G$521,Gastos!$A$2:$A$521,"2026-06",Gastos!$B$2:$B$521,"Suscripciones")</f>
        <v>461374</v>
      </c>
      <c r="H14" s="7" t="n">
        <f aca="false">SUMIFS(Gastos!$G$2:$G$521,Gastos!$A$2:$A$521,"2026-07",Gastos!$B$2:$B$521,"Suscripciones")</f>
        <v>620062</v>
      </c>
      <c r="I14" s="7" t="n">
        <f aca="false">SUMIFS(Gastos!$G$2:$G$521,Gastos!$A$2:$A$521,"2026-08",Gastos!$B$2:$B$521,"Suscripciones")</f>
        <v>825549</v>
      </c>
      <c r="J14" s="7" t="n">
        <f aca="false">SUMIFS(Gastos!$G$2:$G$521,Gastos!$A$2:$A$521,"2026-09",Gastos!$B$2:$B$521,"Suscripciones")</f>
        <v>0</v>
      </c>
      <c r="K14" s="7" t="n">
        <f aca="false">SUMIFS(Gastos!$G$2:$G$521,Gastos!$A$2:$A$521,"2026-10",Gastos!$B$2:$B$521,"Suscripciones")</f>
        <v>0</v>
      </c>
      <c r="L14" s="7" t="n">
        <f aca="false">SUMIFS(Gastos!$G$2:$G$521,Gastos!$A$2:$A$521,"2026-11",Gastos!$B$2:$B$521,"Suscripciones")</f>
        <v>0</v>
      </c>
      <c r="M14" s="7" t="n">
        <f aca="false">SUMIFS(Gastos!$G$2:$G$521,Gastos!$A$2:$A$521,"2026-12",Gastos!$B$2:$B$521,"Suscripciones")</f>
        <v>0</v>
      </c>
      <c r="N14" s="7" t="n">
        <f aca="false">SUMIFS(Gastos!$G$2:$G$521,Gastos!$A$2:$A$521,"2027-01",Gastos!$B$2:$B$521,"Suscripciones")</f>
        <v>0</v>
      </c>
      <c r="O14" s="7" t="n">
        <f aca="false">SUMIFS(Gastos!$G$2:$G$521,Gastos!$A$2:$A$521,"2027-02",Gastos!$B$2:$B$521,"Suscripciones")</f>
        <v>0</v>
      </c>
      <c r="P14" s="7" t="n">
        <f aca="false">SUMIFS(Gastos!$G$2:$G$521,Gastos!$A$2:$A$521,"2027-03",Gastos!$B$2:$B$521,"Suscripciones")</f>
        <v>0</v>
      </c>
      <c r="Q14" s="7" t="n">
        <f aca="false">SUM(B14:P14)</f>
        <v>3761342</v>
      </c>
    </row>
    <row r="15" customFormat="false" ht="15" hidden="false" customHeight="true" outlineLevel="0" collapsed="false">
      <c r="A15" s="4" t="s">
        <v>47</v>
      </c>
      <c r="B15" s="7" t="n">
        <f aca="false">SUMIFS(Gastos!$G$2:$G$521,Gastos!$A$2:$A$521,"2026-01",Gastos!$B$2:$B$521,"Compras adicionales")</f>
        <v>0</v>
      </c>
      <c r="C15" s="7" t="n">
        <f aca="false">SUMIFS(Gastos!$G$2:$G$521,Gastos!$A$2:$A$521,"2026-02",Gastos!$B$2:$B$521,"Compras adicionales")</f>
        <v>0</v>
      </c>
      <c r="D15" s="7" t="n">
        <f aca="false">SUMIFS(Gastos!$G$2:$G$521,Gastos!$A$2:$A$521,"2026-03",Gastos!$B$2:$B$521,"Compras adicionales")</f>
        <v>505932</v>
      </c>
      <c r="E15" s="7" t="n">
        <f aca="false">SUMIFS(Gastos!$G$2:$G$521,Gastos!$A$2:$A$521,"2026-04",Gastos!$B$2:$B$521,"Compras adicionales")</f>
        <v>470932</v>
      </c>
      <c r="F15" s="7" t="n">
        <f aca="false">SUMIFS(Gastos!$G$2:$G$521,Gastos!$A$2:$A$521,"2026-05",Gastos!$B$2:$B$521,"Compras adicionales")</f>
        <v>505932</v>
      </c>
      <c r="G15" s="7" t="n">
        <f aca="false">SUMIFS(Gastos!$G$2:$G$521,Gastos!$A$2:$A$521,"2026-06",Gastos!$B$2:$B$521,"Compras adicionales")</f>
        <v>505932</v>
      </c>
      <c r="H15" s="7" t="n">
        <f aca="false">SUMIFS(Gastos!$G$2:$G$521,Gastos!$A$2:$A$521,"2026-07",Gastos!$B$2:$B$521,"Compras adicionales")</f>
        <v>1507182</v>
      </c>
      <c r="I15" s="7" t="n">
        <f aca="false">SUMIFS(Gastos!$G$2:$G$521,Gastos!$A$2:$A$521,"2026-08",Gastos!$B$2:$B$521,"Compras adicionales")</f>
        <v>1812640</v>
      </c>
      <c r="J15" s="7" t="n">
        <f aca="false">SUMIFS(Gastos!$G$2:$G$521,Gastos!$A$2:$A$521,"2026-09",Gastos!$B$2:$B$521,"Compras adicionales")</f>
        <v>1805964</v>
      </c>
      <c r="K15" s="7" t="n">
        <f aca="false">SUMIFS(Gastos!$G$2:$G$521,Gastos!$A$2:$A$521,"2026-10",Gastos!$B$2:$B$521,"Compras adicionales")</f>
        <v>505932</v>
      </c>
      <c r="L15" s="7" t="n">
        <f aca="false">SUMIFS(Gastos!$G$2:$G$521,Gastos!$A$2:$A$521,"2026-11",Gastos!$B$2:$B$521,"Compras adicionales")</f>
        <v>505932</v>
      </c>
      <c r="M15" s="7" t="n">
        <f aca="false">SUMIFS(Gastos!$G$2:$G$521,Gastos!$A$2:$A$521,"2026-12",Gastos!$B$2:$B$521,"Compras adicionales")</f>
        <v>505932</v>
      </c>
      <c r="N15" s="7" t="n">
        <f aca="false">SUMIFS(Gastos!$G$2:$G$521,Gastos!$A$2:$A$521,"2027-01",Gastos!$B$2:$B$521,"Compras adicionales")</f>
        <v>505932</v>
      </c>
      <c r="O15" s="7" t="n">
        <f aca="false">SUMIFS(Gastos!$G$2:$G$521,Gastos!$A$2:$A$521,"2027-02",Gastos!$B$2:$B$521,"Compras adicionales")</f>
        <v>505932</v>
      </c>
      <c r="P15" s="7" t="n">
        <f aca="false">SUMIFS(Gastos!$G$2:$G$521,Gastos!$A$2:$A$521,"2027-03",Gastos!$B$2:$B$521,"Compras adicionales")</f>
        <v>0</v>
      </c>
      <c r="Q15" s="7" t="n">
        <f aca="false">SUM(B15:P15)</f>
        <v>9644174</v>
      </c>
    </row>
    <row r="16" customFormat="false" ht="15" hidden="false" customHeight="true" outlineLevel="0" collapsed="false">
      <c r="A16" s="4" t="s">
        <v>66</v>
      </c>
      <c r="B16" s="7" t="n">
        <f aca="false">SUMIFS(Gastos!$G$2:$G$521,Gastos!$A$2:$A$521,"2026-01",Gastos!$B$2:$B$521,"Día a día")</f>
        <v>5861720</v>
      </c>
      <c r="C16" s="7" t="n">
        <f aca="false">SUMIFS(Gastos!$G$2:$G$521,Gastos!$A$2:$A$521,"2026-02",Gastos!$B$2:$B$521,"Día a día")</f>
        <v>8780160</v>
      </c>
      <c r="D16" s="7" t="n">
        <f aca="false">SUMIFS(Gastos!$G$2:$G$521,Gastos!$A$2:$A$521,"2026-03",Gastos!$B$2:$B$521,"Día a día")</f>
        <v>5832711</v>
      </c>
      <c r="E16" s="7" t="n">
        <f aca="false">SUMIFS(Gastos!$G$2:$G$521,Gastos!$A$2:$A$521,"2026-04",Gastos!$B$2:$B$521,"Día a día")</f>
        <v>6178045</v>
      </c>
      <c r="F16" s="7" t="n">
        <f aca="false">SUMIFS(Gastos!$G$2:$G$521,Gastos!$A$2:$A$521,"2026-05",Gastos!$B$2:$B$521,"Día a día")</f>
        <v>5382047</v>
      </c>
      <c r="G16" s="7" t="n">
        <f aca="false">SUMIFS(Gastos!$G$2:$G$521,Gastos!$A$2:$A$521,"2026-06",Gastos!$B$2:$B$521,"Día a día")</f>
        <v>5089768</v>
      </c>
      <c r="H16" s="7" t="n">
        <f aca="false">SUMIFS(Gastos!$G$2:$G$521,Gastos!$A$2:$A$521,"2026-07",Gastos!$B$2:$B$521,"Día a día")</f>
        <v>5387766</v>
      </c>
      <c r="I16" s="7" t="n">
        <f aca="false">SUMIFS(Gastos!$G$2:$G$521,Gastos!$A$2:$A$521,"2026-08",Gastos!$B$2:$B$521,"Día a día")</f>
        <v>18192710</v>
      </c>
      <c r="J16" s="7" t="n">
        <f aca="false">SUMIFS(Gastos!$G$2:$G$521,Gastos!$A$2:$A$521,"2026-09",Gastos!$B$2:$B$521,"Día a día")</f>
        <v>162400</v>
      </c>
      <c r="K16" s="7" t="n">
        <f aca="false">SUMIFS(Gastos!$G$2:$G$521,Gastos!$A$2:$A$521,"2026-10",Gastos!$B$2:$B$521,"Día a día")</f>
        <v>0</v>
      </c>
      <c r="L16" s="7" t="n">
        <f aca="false">SUMIFS(Gastos!$G$2:$G$521,Gastos!$A$2:$A$521,"2026-11",Gastos!$B$2:$B$521,"Día a día")</f>
        <v>0</v>
      </c>
      <c r="M16" s="7" t="n">
        <f aca="false">SUMIFS(Gastos!$G$2:$G$521,Gastos!$A$2:$A$521,"2026-12",Gastos!$B$2:$B$521,"Día a día")</f>
        <v>0</v>
      </c>
      <c r="N16" s="7" t="n">
        <f aca="false">SUMIFS(Gastos!$G$2:$G$521,Gastos!$A$2:$A$521,"2027-01",Gastos!$B$2:$B$521,"Día a día")</f>
        <v>0</v>
      </c>
      <c r="O16" s="7" t="n">
        <f aca="false">SUMIFS(Gastos!$G$2:$G$521,Gastos!$A$2:$A$521,"2027-02",Gastos!$B$2:$B$521,"Día a día")</f>
        <v>0</v>
      </c>
      <c r="P16" s="7" t="n">
        <f aca="false">SUMIFS(Gastos!$G$2:$G$521,Gastos!$A$2:$A$521,"2027-03",Gastos!$B$2:$B$521,"Día a día")</f>
        <v>0</v>
      </c>
      <c r="Q16" s="7" t="n">
        <f aca="false">SUM(B16:P16)</f>
        <v>60867327</v>
      </c>
    </row>
    <row r="17" customFormat="false" ht="15" hidden="false" customHeight="true" outlineLevel="0" collapsed="false">
      <c r="A17" s="4" t="s">
        <v>110</v>
      </c>
      <c r="B17" s="7" t="n">
        <f aca="false">SUMIFS(Gastos!$G$2:$G$521,Gastos!$A$2:$A$521,"2026-01",Gastos!$B$2:$B$521,"IPS")</f>
        <v>0</v>
      </c>
      <c r="C17" s="7" t="n">
        <f aca="false">SUMIFS(Gastos!$G$2:$G$521,Gastos!$A$2:$A$521,"2026-02",Gastos!$B$2:$B$521,"IPS")</f>
        <v>0</v>
      </c>
      <c r="D17" s="7" t="n">
        <f aca="false">SUMIFS(Gastos!$G$2:$G$521,Gastos!$A$2:$A$521,"2026-03",Gastos!$B$2:$B$521,"IPS")</f>
        <v>0</v>
      </c>
      <c r="E17" s="7" t="n">
        <f aca="false">SUMIFS(Gastos!$G$2:$G$521,Gastos!$A$2:$A$521,"2026-04",Gastos!$B$2:$B$521,"IPS")</f>
        <v>0</v>
      </c>
      <c r="F17" s="7" t="n">
        <f aca="false">SUMIFS(Gastos!$G$2:$G$521,Gastos!$A$2:$A$521,"2026-05",Gastos!$B$2:$B$521,"IPS")</f>
        <v>0</v>
      </c>
      <c r="G17" s="7" t="n">
        <f aca="false">SUMIFS(Gastos!$G$2:$G$521,Gastos!$A$2:$A$521,"2026-06",Gastos!$B$2:$B$521,"IPS")</f>
        <v>0</v>
      </c>
      <c r="H17" s="7" t="n">
        <f aca="false">SUMIFS(Gastos!$G$2:$G$521,Gastos!$A$2:$A$521,"2026-07",Gastos!$B$2:$B$521,"IPS")</f>
        <v>0</v>
      </c>
      <c r="I17" s="7" t="n">
        <f aca="false">SUMIFS(Gastos!$G$2:$G$521,Gastos!$A$2:$A$521,"2026-08",Gastos!$B$2:$B$521,"IPS")</f>
        <v>388110</v>
      </c>
      <c r="J17" s="7" t="n">
        <f aca="false">SUMIFS(Gastos!$G$2:$G$521,Gastos!$A$2:$A$521,"2026-09",Gastos!$B$2:$B$521,"IPS")</f>
        <v>0</v>
      </c>
      <c r="K17" s="7" t="n">
        <f aca="false">SUMIFS(Gastos!$G$2:$G$521,Gastos!$A$2:$A$521,"2026-10",Gastos!$B$2:$B$521,"IPS")</f>
        <v>0</v>
      </c>
      <c r="L17" s="7" t="n">
        <f aca="false">SUMIFS(Gastos!$G$2:$G$521,Gastos!$A$2:$A$521,"2026-11",Gastos!$B$2:$B$521,"IPS")</f>
        <v>0</v>
      </c>
      <c r="M17" s="7" t="n">
        <f aca="false">SUMIFS(Gastos!$G$2:$G$521,Gastos!$A$2:$A$521,"2026-12",Gastos!$B$2:$B$521,"IPS")</f>
        <v>0</v>
      </c>
      <c r="N17" s="7" t="n">
        <f aca="false">SUMIFS(Gastos!$G$2:$G$521,Gastos!$A$2:$A$521,"2027-01",Gastos!$B$2:$B$521,"IPS")</f>
        <v>0</v>
      </c>
      <c r="O17" s="7" t="n">
        <f aca="false">SUMIFS(Gastos!$G$2:$G$521,Gastos!$A$2:$A$521,"2027-02",Gastos!$B$2:$B$521,"IPS")</f>
        <v>0</v>
      </c>
      <c r="P17" s="7" t="n">
        <f aca="false">SUMIFS(Gastos!$G$2:$G$521,Gastos!$A$2:$A$521,"2027-03",Gastos!$B$2:$B$521,"IPS")</f>
        <v>0</v>
      </c>
      <c r="Q17" s="7" t="n">
        <f aca="false">SUM(B17:P17)</f>
        <v>388110</v>
      </c>
    </row>
    <row r="18" customFormat="false" ht="15" hidden="false" customHeight="true" outlineLevel="0" collapsed="false">
      <c r="A18" s="4" t="s">
        <v>161</v>
      </c>
      <c r="B18" s="7" t="n">
        <f aca="false">SUMIFS(Gastos!$G$2:$G$521,Gastos!$A$2:$A$521,"2026-01",Gastos!$B$2:$B$521,"Viajes")</f>
        <v>373520</v>
      </c>
      <c r="C18" s="7" t="n">
        <f aca="false">SUMIFS(Gastos!$G$2:$G$521,Gastos!$A$2:$A$521,"2026-02",Gastos!$B$2:$B$521,"Viajes")</f>
        <v>373520</v>
      </c>
      <c r="D18" s="7" t="n">
        <f aca="false">SUMIFS(Gastos!$G$2:$G$521,Gastos!$A$2:$A$521,"2026-03",Gastos!$B$2:$B$521,"Viajes")</f>
        <v>373520</v>
      </c>
      <c r="E18" s="7" t="n">
        <f aca="false">SUMIFS(Gastos!$G$2:$G$521,Gastos!$A$2:$A$521,"2026-04",Gastos!$B$2:$B$521,"Viajes")</f>
        <v>2392425</v>
      </c>
      <c r="F18" s="7" t="n">
        <f aca="false">SUMIFS(Gastos!$G$2:$G$521,Gastos!$A$2:$A$521,"2026-05",Gastos!$B$2:$B$521,"Viajes")</f>
        <v>3391393</v>
      </c>
      <c r="G18" s="7" t="n">
        <f aca="false">SUMIFS(Gastos!$G$2:$G$521,Gastos!$A$2:$A$521,"2026-06",Gastos!$B$2:$B$521,"Viajes")</f>
        <v>24171401</v>
      </c>
      <c r="H18" s="7" t="n">
        <f aca="false">SUMIFS(Gastos!$G$2:$G$521,Gastos!$A$2:$A$521,"2026-07",Gastos!$B$2:$B$521,"Viajes")</f>
        <v>0</v>
      </c>
      <c r="I18" s="7" t="n">
        <f aca="false">SUMIFS(Gastos!$G$2:$G$521,Gastos!$A$2:$A$521,"2026-08",Gastos!$B$2:$B$521,"Viajes")</f>
        <v>0</v>
      </c>
      <c r="J18" s="7" t="n">
        <f aca="false">SUMIFS(Gastos!$G$2:$G$521,Gastos!$A$2:$A$521,"2026-09",Gastos!$B$2:$B$521,"Viajes")</f>
        <v>0</v>
      </c>
      <c r="K18" s="7" t="n">
        <f aca="false">SUMIFS(Gastos!$G$2:$G$521,Gastos!$A$2:$A$521,"2026-10",Gastos!$B$2:$B$521,"Viajes")</f>
        <v>0</v>
      </c>
      <c r="L18" s="7" t="n">
        <f aca="false">SUMIFS(Gastos!$G$2:$G$521,Gastos!$A$2:$A$521,"2026-11",Gastos!$B$2:$B$521,"Viajes")</f>
        <v>0</v>
      </c>
      <c r="M18" s="7" t="n">
        <f aca="false">SUMIFS(Gastos!$G$2:$G$521,Gastos!$A$2:$A$521,"2026-12",Gastos!$B$2:$B$521,"Viajes")</f>
        <v>0</v>
      </c>
      <c r="N18" s="7" t="n">
        <f aca="false">SUMIFS(Gastos!$G$2:$G$521,Gastos!$A$2:$A$521,"2027-01",Gastos!$B$2:$B$521,"Viajes")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2026-08-03T14:57:32Z</dcterms:created>
  <dc:creator>openpyxl</dc:creator>
  <dc:description/>
  <dc:language>en-US</dc:language>
  <cp:lastModifiedBy/>
  <dcterms:modified xsi:type="dcterms:W3CDTF">2026-09-02T18:40:23Z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